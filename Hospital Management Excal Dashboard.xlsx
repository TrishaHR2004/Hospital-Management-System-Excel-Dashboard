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C:\Users\nkm\Downloads\"/>
    </mc:Choice>
  </mc:AlternateContent>
  <xr:revisionPtr revIDLastSave="0" documentId="13_ncr:1_{E0B59B82-52B3-4764-8C5A-95140211BEF0}" xr6:coauthVersionLast="47" xr6:coauthVersionMax="47" xr10:uidLastSave="{00000000-0000-0000-0000-000000000000}"/>
  <bookViews>
    <workbookView xWindow="-110" yWindow="-110" windowWidth="19420" windowHeight="10300" firstSheet="2" activeTab="4" xr2:uid="{355E19D5-4CB4-4404-A840-5067BBAF00C2}"/>
  </bookViews>
  <sheets>
    <sheet name="Pivot Report" sheetId="1" r:id="rId1"/>
    <sheet name="Dashboard" sheetId="3" r:id="rId2"/>
    <sheet name="Daily ER No. of Patient" sheetId="4" r:id="rId3"/>
    <sheet name="Average Waiting Time" sheetId="8" r:id="rId4"/>
    <sheet name="Average Satasfication Score" sheetId="7" r:id="rId5"/>
  </sheets>
  <definedNames>
    <definedName name="Slicer_Date__Month">#N/A</definedName>
    <definedName name="Slicer_Date__Year">#N/A</definedName>
  </definedNames>
  <calcPr calcId="191029"/>
  <pivotCaches>
    <pivotCache cacheId="1635" r:id="rId6"/>
    <pivotCache cacheId="1638" r:id="rId7"/>
    <pivotCache cacheId="1641" r:id="rId8"/>
    <pivotCache cacheId="1644" r:id="rId9"/>
    <pivotCache cacheId="1647" r:id="rId10"/>
    <pivotCache cacheId="1650" r:id="rId11"/>
    <pivotCache cacheId="1653" r:id="rId12"/>
    <pivotCache cacheId="1656" r:id="rId13"/>
    <pivotCache cacheId="1659" r:id="rId14"/>
    <pivotCache cacheId="1662" r:id="rId15"/>
    <pivotCache cacheId="1665" r:id="rId16"/>
    <pivotCache cacheId="166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efc376bd-411f-4371-b640-4717bbfa4090" name="Calender_Table" connection="Query - Calender_Table"/>
          <x15:modelTable id="Hospital Emergency Room Data_e2bc10ea-ec23-4ff1-82ef-2cb104cd965d" name="Hospital Emergency Room Data" connection="Query - Hospital Emergency Room Data"/>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 l="1"/>
  <c r="B49" i="1"/>
  <c r="C49" i="1"/>
  <c r="B48" i="1"/>
  <c r="A49"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8B82F6-F39F-4DC2-8E97-002C87318239}" name="Query - Calender_Table" description="Connection to the 'Calender_Table' query in the workbook." type="100" refreshedVersion="8" minRefreshableVersion="5">
    <extLst>
      <ext xmlns:x15="http://schemas.microsoft.com/office/spreadsheetml/2010/11/main" uri="{DE250136-89BD-433C-8126-D09CA5730AF9}">
        <x15:connection id="6c5ad9b5-5e61-480b-b5d3-f2d47f753119"/>
      </ext>
    </extLst>
  </connection>
  <connection id="2" xr16:uid="{630633F4-E027-4466-BA0D-05E96AE44F0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d90ab59-bb55-44fa-a6fb-69216c33817b"/>
      </ext>
    </extLst>
  </connection>
  <connection id="3" xr16:uid="{BA00D886-57B0-49A6-9EB1-009179224367}"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<sst xmlns="http://schemas.openxmlformats.org/spreadsheetml/2006/main" count="157" uniqueCount="76">
  <si>
    <t>Distinct Count of Patient Id</t>
  </si>
  <si>
    <t>Total Number of patient</t>
  </si>
  <si>
    <t>Average of Patient Waittime</t>
  </si>
  <si>
    <t>Average of Patient Satisfaction Score</t>
  </si>
  <si>
    <t>Grand Total</t>
  </si>
  <si>
    <t>2023</t>
  </si>
  <si>
    <t>Row Labels</t>
  </si>
  <si>
    <t>Daily Trends of No. of patient</t>
  </si>
  <si>
    <t>Average wait Time</t>
  </si>
  <si>
    <t>Count of Patient Admission Flag</t>
  </si>
  <si>
    <t>Admitted</t>
  </si>
  <si>
    <t>Not Admitted</t>
  </si>
  <si>
    <t>Count of Patient Admission Flag2</t>
  </si>
  <si>
    <t xml:space="preserve">Admission Status </t>
  </si>
  <si>
    <t>% Status</t>
  </si>
  <si>
    <t xml:space="preserve">Patient </t>
  </si>
  <si>
    <t>Count of Age Group</t>
  </si>
  <si>
    <t>0-09</t>
  </si>
  <si>
    <t>10-19</t>
  </si>
  <si>
    <t>20-29</t>
  </si>
  <si>
    <t>30-39</t>
  </si>
  <si>
    <t>40-49</t>
  </si>
  <si>
    <t>50-59</t>
  </si>
  <si>
    <t>60-69</t>
  </si>
  <si>
    <t>70-79</t>
  </si>
  <si>
    <t>Age group wise Analysis</t>
  </si>
  <si>
    <t>Ontime</t>
  </si>
  <si>
    <t>Delay</t>
  </si>
  <si>
    <t>Count of Patient Attend states</t>
  </si>
  <si>
    <t>Attended Patient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</si>
  <si>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</si>
  <si>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</si>
  <si>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</si>
  <si>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</si>
  <si>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</si>
  <si>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</si>
  <si>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</si>
  <si>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</si>
  <si>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</si>
  <si>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</si>
  <si>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</si>
  <si>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</si>
  <si>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</si>
  <si>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Patient By Dapartment</t>
  </si>
  <si>
    <t xml:space="preserve">Year </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</si>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</sst>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1" tint="0.499984740745262"/>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1">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3" fillId="3" borderId="0" xfId="2" quotePrefix="1" applyFill="1"/>
    <xf numFmtId="0" fontId="0" fillId="0" borderId="0" xfId="0" applyBorder="1"/>
    <xf numFmtId="164" fontId="0" fillId="0" borderId="0" xfId="0" applyNumberFormat="1"/>
    <xf numFmtId="0" fontId="3" fillId="2" borderId="0" xfId="2" quotePrefix="1" applyFill="1"/>
    <xf numFmtId="10" fontId="0" fillId="0" borderId="0" xfId="0" applyNumberFormat="1"/>
    <xf numFmtId="0" fontId="4" fillId="4" borderId="0" xfId="0" applyFont="1" applyFill="1" applyAlignment="1">
      <alignment horizontal="left"/>
    </xf>
    <xf numFmtId="0" fontId="4" fillId="4" borderId="0" xfId="0" applyFont="1" applyFill="1"/>
    <xf numFmtId="0" fontId="2" fillId="4" borderId="0" xfId="0" applyFont="1" applyFill="1"/>
    <xf numFmtId="0" fontId="4" fillId="0" borderId="0" xfId="0" applyFont="1"/>
    <xf numFmtId="9" fontId="4" fillId="0" borderId="0" xfId="1" applyFont="1"/>
    <xf numFmtId="0" fontId="2" fillId="0" borderId="0" xfId="0" applyFont="1"/>
    <xf numFmtId="2" fontId="4" fillId="0" borderId="0" xfId="0" applyNumberFormat="1" applyFont="1"/>
    <xf numFmtId="1" fontId="0" fillId="0" borderId="0" xfId="0" applyNumberFormat="1"/>
    <xf numFmtId="0" fontId="0" fillId="0" borderId="0" xfId="0" applyFill="1"/>
  </cellXfs>
  <cellStyles count="3">
    <cellStyle name="Hyperlink" xfId="2" builtinId="8"/>
    <cellStyle name="Normal" xfId="0" builtinId="0"/>
    <cellStyle name="Percent" xfId="1" builtinId="5"/>
  </cellStyles>
  <dxfs count="1132">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64" formatCode="0.0"/>
    </dxf>
    <dxf>
      <numFmt numFmtId="2" formatCode="0.00"/>
    </dxf>
    <dxf>
      <numFmt numFmtId="2" formatCode="0.00"/>
    </dxf>
    <dxf>
      <numFmt numFmtId="1" formatCode="0"/>
    </dxf>
    <dxf>
      <numFmt numFmtId="1" formatCode="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2" formatCode="0.00"/>
    </dxf>
    <dxf>
      <numFmt numFmtId="1" formatCode="0"/>
    </dxf>
    <dxf>
      <font>
        <b/>
        <color theme="1"/>
      </font>
      <border>
        <bottom style="thin">
          <color theme="5"/>
        </bottom>
        <vertical/>
        <horizontal/>
      </border>
    </dxf>
    <dxf>
      <font>
        <sz val="8"/>
        <color theme="1"/>
      </font>
      <fill>
        <patternFill>
          <bgColor theme="0"/>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9"/>
        <color theme="1"/>
      </font>
      <fill>
        <patternFill>
          <bgColor theme="2" tint="-9.9948118533890809E-2"/>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0562B5DC-37A0-4DEE-AB4A-8B192CA9CC99}">
      <tableStyleElement type="wholeTable" dxfId="1131"/>
      <tableStyleElement type="headerRow" dxfId="1130"/>
    </tableStyle>
    <tableStyle name="My style 2" pivot="0" table="0" count="10" xr9:uid="{E4C5F821-6CCD-4EA6-9D5C-AD07AB255A8D}">
      <tableStyleElement type="wholeTable" dxfId="1129"/>
      <tableStyleElement type="headerRow" dxfId="112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1.2469544815850876E-2"/>
              <c:y val="-7.0958894924962365E-2"/>
            </c:manualLayout>
          </c:layout>
          <c:spPr>
            <a:noFill/>
            <a:ln>
              <a:noFill/>
            </a:ln>
            <a:effectLst/>
          </c:spPr>
          <c:txPr>
            <a:bodyPr rot="0" spcFirstLastPara="1" vertOverflow="ellipsis" vert="horz" wrap="none" anchor="ctr" anchorCtr="1"/>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7296773513801725"/>
                  <c:h val="0.14161447848804076"/>
                </c:manualLayout>
              </c15:layout>
              <c15:showDataLabelsRange val="1"/>
            </c:ext>
          </c:extLst>
        </c:dLbl>
      </c:pivotFmt>
      <c:pivotFmt>
        <c:idx val="3"/>
        <c:spPr>
          <a:solidFill>
            <a:schemeClr val="accent1"/>
          </a:solidFill>
          <a:ln>
            <a:noFill/>
          </a:ln>
          <a:effectLst/>
        </c:spPr>
        <c:dLbl>
          <c:idx val="0"/>
          <c:layout>
            <c:manualLayout>
              <c:x val="1.3097340569527938E-2"/>
              <c:y val="-9.2921288967076997E-17"/>
            </c:manualLayout>
          </c:layout>
          <c:spPr>
            <a:noFill/>
            <a:ln>
              <a:noFill/>
            </a:ln>
            <a:effectLst/>
          </c:spPr>
          <c:txPr>
            <a:bodyPr rot="0" spcFirstLastPara="1" vertOverflow="ellipsis" vert="horz" wrap="none" anchor="ctr" anchorCtr="1"/>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0.40824049604888296"/>
          <c:y val="0.22301366976416742"/>
          <c:w val="0.50007811996442053"/>
          <c:h val="0.55397266047166516"/>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layout>
                <c:manualLayout>
                  <c:x val="1.3097340569527938E-2"/>
                  <c:y val="-9.2921288967076997E-17"/>
                </c:manualLayout>
              </c:layout>
              <c:showLegendKey val="0"/>
              <c:showVal val="0"/>
              <c:showCatName val="0"/>
              <c:showSerName val="0"/>
              <c:showPercent val="0"/>
              <c:showBubbleSize val="0"/>
              <c:extLst>
                <c:ext xmlns:c15="http://schemas.microsoft.com/office/drawing/2012/chart" uri="{CE6537A1-D6FC-4f65-9D91-7224C49458BB}">
                  <c15:showDataLabelsRange val="1"/>
                </c:ext>
              </c:extLst>
            </c:dLbl>
            <c:dLbl>
              <c:idx val="1"/>
              <c:layout>
                <c:manualLayout>
                  <c:x val="1.2469544815850876E-2"/>
                  <c:y val="-7.0958894924962365E-2"/>
                </c:manualLayout>
              </c:layout>
              <c:showLegendKey val="0"/>
              <c:showVal val="0"/>
              <c:showCatName val="0"/>
              <c:showSerName val="0"/>
              <c:showPercent val="0"/>
              <c:showBubbleSize val="0"/>
              <c:extLst>
                <c:ext xmlns:c15="http://schemas.microsoft.com/office/drawing/2012/chart" uri="{CE6537A1-D6FC-4f65-9D91-7224C49458BB}">
                  <c15:layout>
                    <c:manualLayout>
                      <c:w val="0.17296773513801725"/>
                      <c:h val="0.14161447848804076"/>
                    </c:manualLayout>
                  </c15:layout>
                  <c15:showDataLabelsRange val="1"/>
                </c:ext>
              </c:extLst>
            </c:dLbl>
            <c:spPr>
              <a:noFill/>
              <a:ln>
                <a:noFill/>
              </a:ln>
              <a:effectLst/>
            </c:spPr>
            <c:txPr>
              <a:bodyPr rot="0" spcFirstLastPara="1" vertOverflow="ellipsis" vert="horz" wrap="none" anchor="ctr" anchorCtr="1"/>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Report'!$A$42:$A$44</c:f>
              <c:strCache>
                <c:ptCount val="2"/>
                <c:pt idx="0">
                  <c:v>Admitted</c:v>
                </c:pt>
                <c:pt idx="1">
                  <c:v>Not Admitted</c:v>
                </c:pt>
              </c:strCache>
            </c:strRef>
          </c:cat>
          <c:val>
            <c:numRef>
              <c:f>'Pivot Report'!$B$42:$B$44</c:f>
              <c:numCache>
                <c:formatCode>0.00</c:formatCode>
                <c:ptCount val="2"/>
                <c:pt idx="0">
                  <c:v>234</c:v>
                </c:pt>
                <c:pt idx="1">
                  <c:v>260</c:v>
                </c:pt>
              </c:numCache>
            </c:numRef>
          </c:val>
          <c:extLst>
            <c:ext xmlns:c16="http://schemas.microsoft.com/office/drawing/2014/chart" uri="{C3380CC4-5D6E-409C-BE32-E72D297353CC}">
              <c16:uniqueId val="{00000009-CCB9-4FB9-BAD0-D88BB13BF4AA}"/>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0.47368421052631576</c:v>
                </c:pt>
                <c:pt idx="1">
                  <c:v>0.52631578947368418</c:v>
                </c:pt>
              </c:numCache>
            </c:numRef>
          </c:val>
          <c:extLst>
            <c:ext xmlns:c16="http://schemas.microsoft.com/office/drawing/2014/chart" uri="{C3380CC4-5D6E-409C-BE32-E72D297353CC}">
              <c16:uniqueId val="{0000000A-CCB9-4FB9-BAD0-D88BB13BF4AA}"/>
            </c:ext>
          </c:extLst>
        </c:ser>
        <c:dLbls>
          <c:showLegendKey val="0"/>
          <c:showVal val="0"/>
          <c:showCatName val="0"/>
          <c:showSerName val="0"/>
          <c:showPercent val="0"/>
          <c:showBubbleSize val="0"/>
        </c:dLbls>
        <c:gapWidth val="182"/>
        <c:axId val="1847186880"/>
        <c:axId val="1847187840"/>
      </c:barChart>
      <c:catAx>
        <c:axId val="1847186880"/>
        <c:scaling>
          <c:orientation val="minMax"/>
        </c:scaling>
        <c:delete val="0"/>
        <c:axPos val="l"/>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47187840"/>
        <c:crosses val="autoZero"/>
        <c:auto val="1"/>
        <c:lblAlgn val="ctr"/>
        <c:lblOffset val="100"/>
        <c:noMultiLvlLbl val="0"/>
      </c:catAx>
      <c:valAx>
        <c:axId val="1847187840"/>
        <c:scaling>
          <c:orientation val="minMax"/>
        </c:scaling>
        <c:delete val="1"/>
        <c:axPos val="b"/>
        <c:numFmt formatCode="0.00" sourceLinked="1"/>
        <c:majorTickMark val="none"/>
        <c:minorTickMark val="none"/>
        <c:tickLblPos val="nextTo"/>
        <c:crossAx val="184718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55188492063492"/>
          <c:w val="0.77411670605539651"/>
          <c:h val="0.3416176692567009"/>
        </c:manualLayout>
      </c:layout>
      <c:areaChart>
        <c:grouping val="standard"/>
        <c:varyColors val="0"/>
        <c:ser>
          <c:idx val="0"/>
          <c:order val="0"/>
          <c:tx>
            <c:strRef>
              <c:f>'Pivot Report'!$E$6</c:f>
              <c:strCache>
                <c:ptCount val="1"/>
                <c:pt idx="0">
                  <c:v>Total</c:v>
                </c:pt>
              </c:strCache>
            </c:strRef>
          </c:tx>
          <c:spPr>
            <a:solidFill>
              <a:schemeClr val="accent1"/>
            </a:solidFill>
            <a:ln w="25400">
              <a:noFill/>
            </a:ln>
            <a:effectLst/>
          </c:spPr>
          <c:cat>
            <c:strRef>
              <c:f>'Pivot Report'!$D$7:$D$38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Report'!$E$7:$E$38</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4-2879-4C85-B94D-F25510748D20}"/>
            </c:ext>
          </c:extLst>
        </c:ser>
        <c:dLbls>
          <c:showLegendKey val="0"/>
          <c:showVal val="0"/>
          <c:showCatName val="0"/>
          <c:showSerName val="0"/>
          <c:showPercent val="0"/>
          <c:showBubbleSize val="0"/>
        </c:dLbls>
        <c:axId val="479142080"/>
        <c:axId val="479144480"/>
      </c:areaChart>
      <c:catAx>
        <c:axId val="479142080"/>
        <c:scaling>
          <c:orientation val="minMax"/>
        </c:scaling>
        <c:delete val="1"/>
        <c:axPos val="b"/>
        <c:numFmt formatCode="General" sourceLinked="1"/>
        <c:majorTickMark val="out"/>
        <c:minorTickMark val="none"/>
        <c:tickLblPos val="nextTo"/>
        <c:crossAx val="479144480"/>
        <c:crosses val="autoZero"/>
        <c:auto val="1"/>
        <c:lblAlgn val="ctr"/>
        <c:lblOffset val="100"/>
        <c:noMultiLvlLbl val="0"/>
      </c:catAx>
      <c:valAx>
        <c:axId val="479144480"/>
        <c:scaling>
          <c:orientation val="minMax"/>
        </c:scaling>
        <c:delete val="1"/>
        <c:axPos val="l"/>
        <c:numFmt formatCode="General" sourceLinked="1"/>
        <c:majorTickMark val="none"/>
        <c:minorTickMark val="none"/>
        <c:tickLblPos val="nextTo"/>
        <c:crossAx val="4791420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79737620663E-2"/>
          <c:y val="0.34999931102497828"/>
          <c:w val="0.8024490938748613"/>
          <c:h val="0.45000108267503408"/>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Report'!$J$7:$J$38</c:f>
              <c:numCache>
                <c:formatCode>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4-EAE4-4A5F-97A3-49BFDCAD6E8F}"/>
            </c:ext>
          </c:extLst>
        </c:ser>
        <c:dLbls>
          <c:showLegendKey val="0"/>
          <c:showVal val="0"/>
          <c:showCatName val="0"/>
          <c:showSerName val="0"/>
          <c:showPercent val="0"/>
          <c:showBubbleSize val="0"/>
        </c:dLbls>
        <c:axId val="1359023344"/>
        <c:axId val="1359017584"/>
      </c:areaChart>
      <c:catAx>
        <c:axId val="1359023344"/>
        <c:scaling>
          <c:orientation val="minMax"/>
        </c:scaling>
        <c:delete val="1"/>
        <c:axPos val="b"/>
        <c:numFmt formatCode="General" sourceLinked="1"/>
        <c:majorTickMark val="out"/>
        <c:minorTickMark val="none"/>
        <c:tickLblPos val="nextTo"/>
        <c:crossAx val="1359017584"/>
        <c:crosses val="autoZero"/>
        <c:auto val="1"/>
        <c:lblAlgn val="ctr"/>
        <c:lblOffset val="100"/>
        <c:noMultiLvlLbl val="0"/>
      </c:catAx>
      <c:valAx>
        <c:axId val="1359017584"/>
        <c:scaling>
          <c:orientation val="minMax"/>
        </c:scaling>
        <c:delete val="1"/>
        <c:axPos val="l"/>
        <c:numFmt formatCode="0.0" sourceLinked="1"/>
        <c:majorTickMark val="none"/>
        <c:minorTickMark val="none"/>
        <c:tickLblPos val="nextTo"/>
        <c:crossAx val="135902334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17982238338857E-2"/>
          <c:y val="0.24199988566934535"/>
          <c:w val="0.84267551494052795"/>
          <c:h val="0.51600022866130935"/>
        </c:manualLayout>
      </c:layout>
      <c:areaChart>
        <c:grouping val="standard"/>
        <c:varyColors val="0"/>
        <c:ser>
          <c:idx val="0"/>
          <c:order val="0"/>
          <c:tx>
            <c:strRef>
              <c:f>'Pivot Report'!$N$6</c:f>
              <c:strCache>
                <c:ptCount val="1"/>
                <c:pt idx="0">
                  <c:v>Total</c:v>
                </c:pt>
              </c:strCache>
            </c:strRef>
          </c:tx>
          <c:spPr>
            <a:solidFill>
              <a:schemeClr val="accent1"/>
            </a:solidFill>
            <a:ln w="25400">
              <a:noFill/>
            </a:ln>
            <a:effectLst/>
          </c:spPr>
          <c:cat>
            <c:strRef>
              <c:f>'Pivot Report'!$M$7:$M$38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Report'!$N$7:$N$38</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4-A721-4AC4-9CA5-E9C8C86C4FD7}"/>
            </c:ext>
          </c:extLst>
        </c:ser>
        <c:dLbls>
          <c:showLegendKey val="0"/>
          <c:showVal val="0"/>
          <c:showCatName val="0"/>
          <c:showSerName val="0"/>
          <c:showPercent val="0"/>
          <c:showBubbleSize val="0"/>
        </c:dLbls>
        <c:axId val="1847192160"/>
        <c:axId val="1847193120"/>
      </c:areaChart>
      <c:catAx>
        <c:axId val="1847192160"/>
        <c:scaling>
          <c:orientation val="minMax"/>
        </c:scaling>
        <c:delete val="1"/>
        <c:axPos val="b"/>
        <c:numFmt formatCode="General" sourceLinked="1"/>
        <c:majorTickMark val="out"/>
        <c:minorTickMark val="none"/>
        <c:tickLblPos val="nextTo"/>
        <c:crossAx val="1847193120"/>
        <c:crosses val="autoZero"/>
        <c:auto val="1"/>
        <c:lblAlgn val="ctr"/>
        <c:lblOffset val="100"/>
        <c:noMultiLvlLbl val="0"/>
      </c:catAx>
      <c:valAx>
        <c:axId val="1847193120"/>
        <c:scaling>
          <c:orientation val="minMax"/>
        </c:scaling>
        <c:delete val="1"/>
        <c:axPos val="l"/>
        <c:numFmt formatCode="0.00" sourceLinked="1"/>
        <c:majorTickMark val="none"/>
        <c:minorTickMark val="none"/>
        <c:tickLblPos val="nextTo"/>
        <c:crossAx val="1847192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79583768736581E-2"/>
          <c:y val="7.3723768103703083E-2"/>
          <c:w val="0.91433625930911"/>
          <c:h val="0.64392402287348638"/>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4-D5D0-4647-AA22-48514353AF99}"/>
            </c:ext>
          </c:extLst>
        </c:ser>
        <c:dLbls>
          <c:showLegendKey val="0"/>
          <c:showVal val="0"/>
          <c:showCatName val="0"/>
          <c:showSerName val="0"/>
          <c:showPercent val="0"/>
          <c:showBubbleSize val="0"/>
        </c:dLbls>
        <c:gapWidth val="219"/>
        <c:overlap val="-27"/>
        <c:axId val="625730272"/>
        <c:axId val="625728352"/>
      </c:barChart>
      <c:catAx>
        <c:axId val="6257302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25728352"/>
        <c:crosses val="autoZero"/>
        <c:auto val="1"/>
        <c:lblAlgn val="ctr"/>
        <c:lblOffset val="100"/>
        <c:noMultiLvlLbl val="0"/>
      </c:catAx>
      <c:valAx>
        <c:axId val="625728352"/>
        <c:scaling>
          <c:orientation val="minMax"/>
        </c:scaling>
        <c:delete val="1"/>
        <c:axPos val="l"/>
        <c:numFmt formatCode="0" sourceLinked="1"/>
        <c:majorTickMark val="none"/>
        <c:minorTickMark val="none"/>
        <c:tickLblPos val="nextTo"/>
        <c:crossAx val="62573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Report!PivotTable10</c:name>
    <c:fmtId val="13"/>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s>
    <c:plotArea>
      <c:layout>
        <c:manualLayout>
          <c:layoutTarget val="inner"/>
          <c:xMode val="edge"/>
          <c:yMode val="edge"/>
          <c:x val="0.21152530360449509"/>
          <c:y val="0.22670196865039957"/>
          <c:w val="0.58862767525135917"/>
          <c:h val="0.70442319215379645"/>
        </c:manualLayout>
      </c:layout>
      <c:pieChart>
        <c:varyColors val="1"/>
        <c:ser>
          <c:idx val="0"/>
          <c:order val="0"/>
          <c:tx>
            <c:strRef>
              <c:f>'Pivot Report'!$E$52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Report'!$D$53:$D$55</c:f>
              <c:strCache>
                <c:ptCount val="2"/>
                <c:pt idx="0">
                  <c:v>Delay</c:v>
                </c:pt>
                <c:pt idx="1">
                  <c:v>Ontime</c:v>
                </c:pt>
              </c:strCache>
            </c:strRef>
          </c:cat>
          <c:val>
            <c:numRef>
              <c:f>'Pivot Report'!$E$53:$E$55</c:f>
              <c:numCache>
                <c:formatCode>0</c:formatCode>
                <c:ptCount val="2"/>
                <c:pt idx="0">
                  <c:v>307</c:v>
                </c:pt>
                <c:pt idx="1">
                  <c:v>187</c:v>
                </c:pt>
              </c:numCache>
            </c:numRef>
          </c:val>
          <c:extLst>
            <c:ext xmlns:c16="http://schemas.microsoft.com/office/drawing/2014/chart" uri="{C3380CC4-5D6E-409C-BE32-E72D297353CC}">
              <c16:uniqueId val="{00000008-F22E-4E55-82BD-784A51E1D6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5124744211284853E-2"/>
          <c:y val="4.0091230541529646E-2"/>
          <c:w val="0.79987217485467399"/>
          <c:h val="0.1758624706853672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Report!PivotTable11</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8530297945684546"/>
          <c:y val="0.24283936525534264"/>
          <c:w val="0.48790698719486608"/>
          <c:h val="0.63032125825290719"/>
        </c:manualLayout>
      </c:layout>
      <c:doughnutChart>
        <c:varyColors val="1"/>
        <c:ser>
          <c:idx val="0"/>
          <c:order val="0"/>
          <c:tx>
            <c:strRef>
              <c:f>'Pivot Report'!$B$65</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Female</c:v>
                </c:pt>
                <c:pt idx="1">
                  <c:v>Male</c:v>
                </c:pt>
              </c:strCache>
            </c:strRef>
          </c:cat>
          <c:val>
            <c:numRef>
              <c:f>'Pivot Report'!$B$66:$B$68</c:f>
              <c:numCache>
                <c:formatCode>0</c:formatCode>
                <c:ptCount val="2"/>
                <c:pt idx="0">
                  <c:v>241</c:v>
                </c:pt>
                <c:pt idx="1">
                  <c:v>253</c:v>
                </c:pt>
              </c:numCache>
            </c:numRef>
          </c:val>
          <c:extLst>
            <c:ext xmlns:c16="http://schemas.microsoft.com/office/drawing/2014/chart" uri="{C3380CC4-5D6E-409C-BE32-E72D297353CC}">
              <c16:uniqueId val="{00000008-8567-4120-9C4D-2F53DC688508}"/>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0902230298163126"/>
          <c:y val="1.3343233856793859E-2"/>
          <c:w val="0.65828477742318692"/>
          <c:h val="0.2180331230564526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Report!PivotTable12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7170089758503"/>
          <c:y val="8.7364645772945726E-2"/>
          <c:w val="0.64479321593160377"/>
          <c:h val="0.75833075366859592"/>
        </c:manualLayout>
      </c:layout>
      <c:barChart>
        <c:barDir val="bar"/>
        <c:grouping val="clustered"/>
        <c:varyColors val="0"/>
        <c:ser>
          <c:idx val="0"/>
          <c:order val="0"/>
          <c:tx>
            <c:strRef>
              <c:f>'Pivot Report'!$E$60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Report'!$D$61:$D$69</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Report'!$E$61:$E$69</c:f>
              <c:numCache>
                <c:formatCode>0</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4-9130-4FA2-8D27-3B8AB2CAFF26}"/>
            </c:ext>
          </c:extLst>
        </c:ser>
        <c:dLbls>
          <c:showLegendKey val="0"/>
          <c:showVal val="0"/>
          <c:showCatName val="0"/>
          <c:showSerName val="0"/>
          <c:showPercent val="0"/>
          <c:showBubbleSize val="0"/>
        </c:dLbls>
        <c:gapWidth val="34"/>
        <c:axId val="540986032"/>
        <c:axId val="540990352"/>
      </c:barChart>
      <c:catAx>
        <c:axId val="54098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40990352"/>
        <c:crosses val="autoZero"/>
        <c:auto val="1"/>
        <c:lblAlgn val="ctr"/>
        <c:lblOffset val="100"/>
        <c:noMultiLvlLbl val="0"/>
      </c:catAx>
      <c:valAx>
        <c:axId val="540990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4098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37518345052896E-2"/>
          <c:y val="0.10276658884976062"/>
          <c:w val="0.93763442871303793"/>
          <c:h val="0.72754830940250115"/>
        </c:manualLayout>
      </c:layout>
      <c:areaChart>
        <c:grouping val="standard"/>
        <c:varyColors val="0"/>
        <c:ser>
          <c:idx val="0"/>
          <c:order val="0"/>
          <c:tx>
            <c:strRef>
              <c:f>'Pivot Report'!$E$6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Report'!$D$7:$D$38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Report'!$E$7:$E$38</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4-A4C4-4E54-AD1D-0C57BA631CA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79142080"/>
        <c:axId val="479144480"/>
      </c:areaChart>
      <c:catAx>
        <c:axId val="4791420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9144480"/>
        <c:crosses val="autoZero"/>
        <c:auto val="1"/>
        <c:lblAlgn val="ctr"/>
        <c:lblOffset val="100"/>
        <c:noMultiLvlLbl val="0"/>
      </c:catAx>
      <c:valAx>
        <c:axId val="479144480"/>
        <c:scaling>
          <c:orientation val="minMax"/>
        </c:scaling>
        <c:delete val="1"/>
        <c:axPos val="l"/>
        <c:numFmt formatCode="General" sourceLinked="1"/>
        <c:majorTickMark val="out"/>
        <c:minorTickMark val="none"/>
        <c:tickLblPos val="nextTo"/>
        <c:crossAx val="4791420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Report!PivotTable7</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376327514220863E-2"/>
          <c:y val="6.7085953878406712E-2"/>
          <c:w val="0.92012623644464375"/>
          <c:h val="0.79351458426187294"/>
        </c:manualLayout>
      </c:layout>
      <c:areaChart>
        <c:grouping val="standard"/>
        <c:varyColors val="0"/>
        <c:ser>
          <c:idx val="0"/>
          <c:order val="0"/>
          <c:tx>
            <c:strRef>
              <c:f>'Pivot Report'!$N$6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Report'!$M$7:$M$38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Report'!$N$7:$N$38</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4-2EC0-4389-B944-59B2CA709E0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7192160"/>
        <c:axId val="1847193120"/>
      </c:areaChart>
      <c:catAx>
        <c:axId val="18471921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7193120"/>
        <c:crosses val="autoZero"/>
        <c:auto val="1"/>
        <c:lblAlgn val="ctr"/>
        <c:lblOffset val="100"/>
        <c:noMultiLvlLbl val="0"/>
      </c:catAx>
      <c:valAx>
        <c:axId val="1847193120"/>
        <c:scaling>
          <c:orientation val="minMax"/>
        </c:scaling>
        <c:delete val="1"/>
        <c:axPos val="l"/>
        <c:numFmt formatCode="0.00" sourceLinked="1"/>
        <c:majorTickMark val="out"/>
        <c:minorTickMark val="none"/>
        <c:tickLblPos val="nextTo"/>
        <c:crossAx val="1847192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Excal Dashboard.xlsx]Pivot Report!PivotTable7</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Report'!$M$7:$M$38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Report'!$N$7:$N$38</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4-23DC-45C2-A857-6A062CE9019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7192160"/>
        <c:axId val="1847193120"/>
      </c:areaChart>
      <c:catAx>
        <c:axId val="18471921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7193120"/>
        <c:crosses val="autoZero"/>
        <c:auto val="1"/>
        <c:lblAlgn val="ctr"/>
        <c:lblOffset val="100"/>
        <c:noMultiLvlLbl val="0"/>
      </c:catAx>
      <c:valAx>
        <c:axId val="1847193120"/>
        <c:scaling>
          <c:orientation val="minMax"/>
        </c:scaling>
        <c:delete val="1"/>
        <c:axPos val="l"/>
        <c:numFmt formatCode="0.00" sourceLinked="1"/>
        <c:majorTickMark val="out"/>
        <c:minorTickMark val="none"/>
        <c:tickLblPos val="nextTo"/>
        <c:crossAx val="1847192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Average Satasfication Score'!A1"/><Relationship Id="rId6" Type="http://schemas.openxmlformats.org/officeDocument/2006/relationships/image" Target="../media/image5.svg"/><Relationship Id="rId11" Type="http://schemas.openxmlformats.org/officeDocument/2006/relationships/hyperlink" Target="#'Average Waiting Time'!A1"/><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image" Target="../media/image3.svg"/><Relationship Id="rId9" Type="http://schemas.openxmlformats.org/officeDocument/2006/relationships/hyperlink" Target="#'Daily ER No. of Patient'!A1"/><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1956486</xdr:colOff>
      <xdr:row>46</xdr:row>
      <xdr:rowOff>60068</xdr:rowOff>
    </xdr:from>
    <xdr:to>
      <xdr:col>4</xdr:col>
      <xdr:colOff>102973</xdr:colOff>
      <xdr:row>49</xdr:row>
      <xdr:rowOff>145879</xdr:rowOff>
    </xdr:to>
    <xdr:graphicFrame macro="">
      <xdr:nvGraphicFramePr>
        <xdr:cNvPr id="6" name="Chart 5">
          <a:extLst>
            <a:ext uri="{FF2B5EF4-FFF2-40B4-BE49-F238E27FC236}">
              <a16:creationId xmlns:a16="http://schemas.microsoft.com/office/drawing/2014/main" id="{E70A8373-2C68-271B-0231-6E0B6DC9D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46182</xdr:colOff>
      <xdr:row>0</xdr:row>
      <xdr:rowOff>74468</xdr:rowOff>
    </xdr:from>
    <xdr:to>
      <xdr:col>5</xdr:col>
      <xdr:colOff>288637</xdr:colOff>
      <xdr:row>2</xdr:row>
      <xdr:rowOff>173182</xdr:rowOff>
    </xdr:to>
    <xdr:sp macro="" textlink="">
      <xdr:nvSpPr>
        <xdr:cNvPr id="2" name="Rectangle: Rounded Corners 1">
          <a:extLst>
            <a:ext uri="{FF2B5EF4-FFF2-40B4-BE49-F238E27FC236}">
              <a16:creationId xmlns:a16="http://schemas.microsoft.com/office/drawing/2014/main" id="{2043BD6D-9034-043E-1E75-285105C32A5C}"/>
            </a:ext>
          </a:extLst>
        </xdr:cNvPr>
        <xdr:cNvSpPr/>
      </xdr:nvSpPr>
      <xdr:spPr>
        <a:xfrm>
          <a:off x="46182" y="74468"/>
          <a:ext cx="3302000" cy="468169"/>
        </a:xfrm>
        <a:prstGeom prst="roundRect">
          <a:avLst>
            <a:gd name="adj" fmla="val 183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kern="1200">
              <a:solidFill>
                <a:schemeClr val="tx1"/>
              </a:solidFill>
            </a:rPr>
            <a:t>               Hospital</a:t>
          </a:r>
          <a:r>
            <a:rPr lang="en-IN" sz="1200" b="1" kern="1200" baseline="0">
              <a:solidFill>
                <a:schemeClr val="tx1"/>
              </a:solidFill>
            </a:rPr>
            <a:t> Emergency Room Dashboard</a:t>
          </a:r>
          <a:endParaRPr lang="en-IN" sz="1200" b="1" kern="1200">
            <a:solidFill>
              <a:schemeClr val="tx1"/>
            </a:solidFill>
          </a:endParaRPr>
        </a:p>
      </xdr:txBody>
    </xdr:sp>
    <xdr:clientData/>
  </xdr:twoCellAnchor>
  <xdr:twoCellAnchor editAs="absolute">
    <xdr:from>
      <xdr:col>5</xdr:col>
      <xdr:colOff>311728</xdr:colOff>
      <xdr:row>0</xdr:row>
      <xdr:rowOff>75046</xdr:rowOff>
    </xdr:from>
    <xdr:to>
      <xdr:col>7</xdr:col>
      <xdr:colOff>98136</xdr:colOff>
      <xdr:row>2</xdr:row>
      <xdr:rowOff>167409</xdr:rowOff>
    </xdr:to>
    <xdr:sp macro="" textlink="">
      <xdr:nvSpPr>
        <xdr:cNvPr id="4" name="Rectangle: Rounded Corners 3">
          <a:extLst>
            <a:ext uri="{FF2B5EF4-FFF2-40B4-BE49-F238E27FC236}">
              <a16:creationId xmlns:a16="http://schemas.microsoft.com/office/drawing/2014/main" id="{3113C4ED-CDD1-4B1C-8B40-3DD49AA49F3E}"/>
            </a:ext>
          </a:extLst>
        </xdr:cNvPr>
        <xdr:cNvSpPr/>
      </xdr:nvSpPr>
      <xdr:spPr>
        <a:xfrm>
          <a:off x="3371273" y="75046"/>
          <a:ext cx="1010227" cy="461818"/>
        </a:xfrm>
        <a:prstGeom prst="roundRect">
          <a:avLst>
            <a:gd name="adj" fmla="val 1318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121227</xdr:colOff>
      <xdr:row>0</xdr:row>
      <xdr:rowOff>80816</xdr:rowOff>
    </xdr:from>
    <xdr:to>
      <xdr:col>9</xdr:col>
      <xdr:colOff>190499</xdr:colOff>
      <xdr:row>6</xdr:row>
      <xdr:rowOff>40407</xdr:rowOff>
    </xdr:to>
    <xdr:sp macro="" textlink="">
      <xdr:nvSpPr>
        <xdr:cNvPr id="5" name="Rectangle: Rounded Corners 4">
          <a:extLst>
            <a:ext uri="{FF2B5EF4-FFF2-40B4-BE49-F238E27FC236}">
              <a16:creationId xmlns:a16="http://schemas.microsoft.com/office/drawing/2014/main" id="{2E4BB010-E437-4BBC-B6DF-0030E0BAECBC}"/>
            </a:ext>
          </a:extLst>
        </xdr:cNvPr>
        <xdr:cNvSpPr/>
      </xdr:nvSpPr>
      <xdr:spPr>
        <a:xfrm>
          <a:off x="4404591" y="80816"/>
          <a:ext cx="1293090" cy="1067955"/>
        </a:xfrm>
        <a:prstGeom prst="roundRect">
          <a:avLst>
            <a:gd name="adj" fmla="val 386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46182</xdr:colOff>
      <xdr:row>3</xdr:row>
      <xdr:rowOff>28866</xdr:rowOff>
    </xdr:from>
    <xdr:to>
      <xdr:col>1</xdr:col>
      <xdr:colOff>126999</xdr:colOff>
      <xdr:row>15</xdr:row>
      <xdr:rowOff>109684</xdr:rowOff>
    </xdr:to>
    <xdr:sp macro="" textlink="">
      <xdr:nvSpPr>
        <xdr:cNvPr id="7" name="Rectangle: Rounded Corners 6">
          <a:extLst>
            <a:ext uri="{FF2B5EF4-FFF2-40B4-BE49-F238E27FC236}">
              <a16:creationId xmlns:a16="http://schemas.microsoft.com/office/drawing/2014/main" id="{484DD08E-3CA2-410E-ACE2-2D9E244DAFEA}"/>
            </a:ext>
          </a:extLst>
        </xdr:cNvPr>
        <xdr:cNvSpPr/>
      </xdr:nvSpPr>
      <xdr:spPr>
        <a:xfrm rot="5400000">
          <a:off x="-756228" y="1385458"/>
          <a:ext cx="2297545" cy="692726"/>
        </a:xfrm>
        <a:prstGeom prst="roundRect">
          <a:avLst>
            <a:gd name="adj" fmla="val 67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161634</xdr:colOff>
      <xdr:row>3</xdr:row>
      <xdr:rowOff>23093</xdr:rowOff>
    </xdr:from>
    <xdr:to>
      <xdr:col>7</xdr:col>
      <xdr:colOff>86590</xdr:colOff>
      <xdr:row>7</xdr:row>
      <xdr:rowOff>11549</xdr:rowOff>
    </xdr:to>
    <xdr:grpSp>
      <xdr:nvGrpSpPr>
        <xdr:cNvPr id="17" name="Group 16">
          <a:hlinkClick xmlns:r="http://schemas.openxmlformats.org/officeDocument/2006/relationships" r:id="rId1"/>
          <a:extLst>
            <a:ext uri="{FF2B5EF4-FFF2-40B4-BE49-F238E27FC236}">
              <a16:creationId xmlns:a16="http://schemas.microsoft.com/office/drawing/2014/main" id="{1585AAB1-C8AF-9B73-D088-4BE1B8D539AB}"/>
            </a:ext>
          </a:extLst>
        </xdr:cNvPr>
        <xdr:cNvGrpSpPr/>
      </xdr:nvGrpSpPr>
      <xdr:grpSpPr>
        <a:xfrm>
          <a:off x="773543" y="577275"/>
          <a:ext cx="3596411" cy="727365"/>
          <a:chOff x="785089" y="572194"/>
          <a:chExt cx="2805546" cy="640081"/>
        </a:xfrm>
      </xdr:grpSpPr>
      <xdr:grpSp>
        <xdr:nvGrpSpPr>
          <xdr:cNvPr id="16" name="Group 15">
            <a:extLst>
              <a:ext uri="{FF2B5EF4-FFF2-40B4-BE49-F238E27FC236}">
                <a16:creationId xmlns:a16="http://schemas.microsoft.com/office/drawing/2014/main" id="{F2CBC92A-6908-90A3-44D0-E7BB0317A241}"/>
              </a:ext>
            </a:extLst>
          </xdr:cNvPr>
          <xdr:cNvGrpSpPr/>
        </xdr:nvGrpSpPr>
        <xdr:grpSpPr>
          <a:xfrm>
            <a:off x="785089" y="572194"/>
            <a:ext cx="1857550" cy="640080"/>
            <a:chOff x="785089" y="572194"/>
            <a:chExt cx="1857550" cy="640080"/>
          </a:xfrm>
        </xdr:grpSpPr>
        <xdr:sp macro="" textlink="">
          <xdr:nvSpPr>
            <xdr:cNvPr id="9" name="Rectangle: Rounded Corners 8">
              <a:extLst>
                <a:ext uri="{FF2B5EF4-FFF2-40B4-BE49-F238E27FC236}">
                  <a16:creationId xmlns:a16="http://schemas.microsoft.com/office/drawing/2014/main" id="{9F993287-EC8F-4204-8F94-489DDB0EE604}"/>
                </a:ext>
              </a:extLst>
            </xdr:cNvPr>
            <xdr:cNvSpPr/>
          </xdr:nvSpPr>
          <xdr:spPr>
            <a:xfrm rot="5400000">
              <a:off x="917862" y="444501"/>
              <a:ext cx="635000" cy="900546"/>
            </a:xfrm>
            <a:prstGeom prst="roundRect">
              <a:avLst>
                <a:gd name="adj" fmla="val 67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282CC0A9-9AAF-ED70-E794-F7A092CFB0A3}"/>
                </a:ext>
              </a:extLst>
            </xdr:cNvPr>
            <xdr:cNvSpPr/>
          </xdr:nvSpPr>
          <xdr:spPr>
            <a:xfrm rot="5400000">
              <a:off x="1860203" y="424758"/>
              <a:ext cx="635000" cy="929872"/>
            </a:xfrm>
            <a:prstGeom prst="roundRect">
              <a:avLst>
                <a:gd name="adj" fmla="val 67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sp macro="" textlink="">
        <xdr:nvSpPr>
          <xdr:cNvPr id="14" name="Rectangle: Rounded Corners 13">
            <a:extLst>
              <a:ext uri="{FF2B5EF4-FFF2-40B4-BE49-F238E27FC236}">
                <a16:creationId xmlns:a16="http://schemas.microsoft.com/office/drawing/2014/main" id="{7D17639D-BE83-0603-0CEF-06B0EF253E86}"/>
              </a:ext>
            </a:extLst>
          </xdr:cNvPr>
          <xdr:cNvSpPr/>
        </xdr:nvSpPr>
        <xdr:spPr>
          <a:xfrm rot="5400000">
            <a:off x="2811549" y="433188"/>
            <a:ext cx="635000" cy="923173"/>
          </a:xfrm>
          <a:prstGeom prst="roundRect">
            <a:avLst>
              <a:gd name="adj" fmla="val 67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absolute">
    <xdr:from>
      <xdr:col>1</xdr:col>
      <xdr:colOff>161635</xdr:colOff>
      <xdr:row>10</xdr:row>
      <xdr:rowOff>40408</xdr:rowOff>
    </xdr:from>
    <xdr:to>
      <xdr:col>7</xdr:col>
      <xdr:colOff>98135</xdr:colOff>
      <xdr:row>15</xdr:row>
      <xdr:rowOff>115455</xdr:rowOff>
    </xdr:to>
    <xdr:sp macro="" textlink="">
      <xdr:nvSpPr>
        <xdr:cNvPr id="21" name="Rectangle: Rounded Corners 20">
          <a:extLst>
            <a:ext uri="{FF2B5EF4-FFF2-40B4-BE49-F238E27FC236}">
              <a16:creationId xmlns:a16="http://schemas.microsoft.com/office/drawing/2014/main" id="{A6AD1EFE-9D06-4DFE-AB4A-D400DB127C78}"/>
            </a:ext>
          </a:extLst>
        </xdr:cNvPr>
        <xdr:cNvSpPr/>
      </xdr:nvSpPr>
      <xdr:spPr>
        <a:xfrm>
          <a:off x="773544" y="1887681"/>
          <a:ext cx="3607955" cy="998683"/>
        </a:xfrm>
        <a:prstGeom prst="roundRect">
          <a:avLst>
            <a:gd name="adj" fmla="val 118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127000</xdr:colOff>
      <xdr:row>6</xdr:row>
      <xdr:rowOff>75045</xdr:rowOff>
    </xdr:from>
    <xdr:to>
      <xdr:col>11</xdr:col>
      <xdr:colOff>311729</xdr:colOff>
      <xdr:row>15</xdr:row>
      <xdr:rowOff>132773</xdr:rowOff>
    </xdr:to>
    <xdr:sp macro="" textlink="">
      <xdr:nvSpPr>
        <xdr:cNvPr id="24" name="Rectangle: Rounded Corners 23">
          <a:extLst>
            <a:ext uri="{FF2B5EF4-FFF2-40B4-BE49-F238E27FC236}">
              <a16:creationId xmlns:a16="http://schemas.microsoft.com/office/drawing/2014/main" id="{37FCDFF9-3B26-4814-8C00-6A64978FF9DA}"/>
            </a:ext>
          </a:extLst>
        </xdr:cNvPr>
        <xdr:cNvSpPr/>
      </xdr:nvSpPr>
      <xdr:spPr>
        <a:xfrm>
          <a:off x="4410364" y="1183409"/>
          <a:ext cx="2632365" cy="1720273"/>
        </a:xfrm>
        <a:prstGeom prst="roundRect">
          <a:avLst>
            <a:gd name="adj" fmla="val 5594"/>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225136</xdr:colOff>
      <xdr:row>0</xdr:row>
      <xdr:rowOff>80819</xdr:rowOff>
    </xdr:from>
    <xdr:to>
      <xdr:col>11</xdr:col>
      <xdr:colOff>288636</xdr:colOff>
      <xdr:row>6</xdr:row>
      <xdr:rowOff>40409</xdr:rowOff>
    </xdr:to>
    <xdr:sp macro="" textlink="">
      <xdr:nvSpPr>
        <xdr:cNvPr id="25" name="Rectangle: Rounded Corners 24">
          <a:extLst>
            <a:ext uri="{FF2B5EF4-FFF2-40B4-BE49-F238E27FC236}">
              <a16:creationId xmlns:a16="http://schemas.microsoft.com/office/drawing/2014/main" id="{CF532FD6-29F4-440E-934D-DFD91F50F183}"/>
            </a:ext>
          </a:extLst>
        </xdr:cNvPr>
        <xdr:cNvSpPr/>
      </xdr:nvSpPr>
      <xdr:spPr>
        <a:xfrm>
          <a:off x="5732318" y="80819"/>
          <a:ext cx="1287318" cy="1067954"/>
        </a:xfrm>
        <a:prstGeom prst="roundRect">
          <a:avLst>
            <a:gd name="adj" fmla="val 386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0</xdr:col>
      <xdr:colOff>121227</xdr:colOff>
      <xdr:row>0</xdr:row>
      <xdr:rowOff>0</xdr:rowOff>
    </xdr:from>
    <xdr:to>
      <xdr:col>1</xdr:col>
      <xdr:colOff>132774</xdr:colOff>
      <xdr:row>3</xdr:row>
      <xdr:rowOff>21818</xdr:rowOff>
    </xdr:to>
    <xdr:pic>
      <xdr:nvPicPr>
        <xdr:cNvPr id="28" name="Picture 27">
          <a:extLst>
            <a:ext uri="{FF2B5EF4-FFF2-40B4-BE49-F238E27FC236}">
              <a16:creationId xmlns:a16="http://schemas.microsoft.com/office/drawing/2014/main" id="{BFBC9EF1-0149-F004-3040-514004D9BF2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941" t="-4009" r="-764" b="4009"/>
        <a:stretch/>
      </xdr:blipFill>
      <xdr:spPr>
        <a:xfrm>
          <a:off x="121227" y="0"/>
          <a:ext cx="623456" cy="576000"/>
        </a:xfrm>
        <a:prstGeom prst="rect">
          <a:avLst/>
        </a:prstGeom>
      </xdr:spPr>
    </xdr:pic>
    <xdr:clientData/>
  </xdr:twoCellAnchor>
  <xdr:oneCellAnchor>
    <xdr:from>
      <xdr:col>2</xdr:col>
      <xdr:colOff>34637</xdr:colOff>
      <xdr:row>2</xdr:row>
      <xdr:rowOff>57727</xdr:rowOff>
    </xdr:from>
    <xdr:ext cx="929409" cy="264560"/>
    <xdr:sp macro="" textlink="">
      <xdr:nvSpPr>
        <xdr:cNvPr id="29" name="TextBox 28">
          <a:extLst>
            <a:ext uri="{FF2B5EF4-FFF2-40B4-BE49-F238E27FC236}">
              <a16:creationId xmlns:a16="http://schemas.microsoft.com/office/drawing/2014/main" id="{6BA1B2BD-CCD7-1739-A901-FF8262236D6C}"/>
            </a:ext>
          </a:extLst>
        </xdr:cNvPr>
        <xdr:cNvSpPr txBox="1"/>
      </xdr:nvSpPr>
      <xdr:spPr>
        <a:xfrm>
          <a:off x="1258455" y="427182"/>
          <a:ext cx="9294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kern="1200"/>
        </a:p>
      </xdr:txBody>
    </xdr:sp>
    <xdr:clientData/>
  </xdr:oneCellAnchor>
  <xdr:oneCellAnchor>
    <xdr:from>
      <xdr:col>2</xdr:col>
      <xdr:colOff>80819</xdr:colOff>
      <xdr:row>1</xdr:row>
      <xdr:rowOff>132774</xdr:rowOff>
    </xdr:from>
    <xdr:ext cx="1171863" cy="160650"/>
    <xdr:sp macro="" textlink="">
      <xdr:nvSpPr>
        <xdr:cNvPr id="31" name="TextBox 30">
          <a:extLst>
            <a:ext uri="{FF2B5EF4-FFF2-40B4-BE49-F238E27FC236}">
              <a16:creationId xmlns:a16="http://schemas.microsoft.com/office/drawing/2014/main" id="{B5C34CC6-5A8A-9020-33BF-7B1EFE670277}"/>
            </a:ext>
          </a:extLst>
        </xdr:cNvPr>
        <xdr:cNvSpPr txBox="1"/>
      </xdr:nvSpPr>
      <xdr:spPr>
        <a:xfrm>
          <a:off x="1304637" y="317501"/>
          <a:ext cx="1171863" cy="16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108000" rIns="0" rtlCol="0" anchor="ctr">
          <a:noAutofit/>
        </a:bodyPr>
        <a:lstStyle/>
        <a:p>
          <a:r>
            <a:rPr lang="en-IN" sz="1100" b="1" kern="1200"/>
            <a:t>Monthly </a:t>
          </a:r>
          <a:r>
            <a:rPr lang="en-IN" sz="1100" b="1" kern="1200" baseline="0"/>
            <a:t>Report</a:t>
          </a:r>
          <a:endParaRPr lang="en-IN" sz="1100" b="1" kern="1200"/>
        </a:p>
      </xdr:txBody>
    </xdr:sp>
    <xdr:clientData/>
  </xdr:oneCellAnchor>
  <xdr:twoCellAnchor>
    <xdr:from>
      <xdr:col>1</xdr:col>
      <xdr:colOff>357910</xdr:colOff>
      <xdr:row>3</xdr:row>
      <xdr:rowOff>144318</xdr:rowOff>
    </xdr:from>
    <xdr:to>
      <xdr:col>2</xdr:col>
      <xdr:colOff>438728</xdr:colOff>
      <xdr:row>4</xdr:row>
      <xdr:rowOff>155864</xdr:rowOff>
    </xdr:to>
    <xdr:sp macro="" textlink="'Pivot Report'!A7">
      <xdr:nvSpPr>
        <xdr:cNvPr id="47" name="TextBox 46">
          <a:extLst>
            <a:ext uri="{FF2B5EF4-FFF2-40B4-BE49-F238E27FC236}">
              <a16:creationId xmlns:a16="http://schemas.microsoft.com/office/drawing/2014/main" id="{AC882268-B84A-3854-1810-EE6613E5F5B8}"/>
            </a:ext>
          </a:extLst>
        </xdr:cNvPr>
        <xdr:cNvSpPr txBox="1"/>
      </xdr:nvSpPr>
      <xdr:spPr>
        <a:xfrm>
          <a:off x="969819" y="698500"/>
          <a:ext cx="692727" cy="196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DA430D-9B8B-410A-A92C-AFC499AA3A29}" type="TxLink">
            <a:rPr lang="en-US" sz="1100" b="0" i="0" u="none" strike="noStrike" kern="1200">
              <a:solidFill>
                <a:srgbClr val="000000"/>
              </a:solidFill>
              <a:latin typeface="Aptos Narrow"/>
            </a:rPr>
            <a:pPr algn="ctr"/>
            <a:t>494</a:t>
          </a:fld>
          <a:endParaRPr lang="en-IN" sz="1100" kern="1200"/>
        </a:p>
      </xdr:txBody>
    </xdr:sp>
    <xdr:clientData/>
  </xdr:twoCellAnchor>
  <xdr:twoCellAnchor>
    <xdr:from>
      <xdr:col>1</xdr:col>
      <xdr:colOff>236679</xdr:colOff>
      <xdr:row>4</xdr:row>
      <xdr:rowOff>109683</xdr:rowOff>
    </xdr:from>
    <xdr:to>
      <xdr:col>2</xdr:col>
      <xdr:colOff>596770</xdr:colOff>
      <xdr:row>5</xdr:row>
      <xdr:rowOff>68956</xdr:rowOff>
    </xdr:to>
    <xdr:sp macro="" textlink="'Pivot Report'!A7">
      <xdr:nvSpPr>
        <xdr:cNvPr id="49" name="TextBox 48">
          <a:extLst>
            <a:ext uri="{FF2B5EF4-FFF2-40B4-BE49-F238E27FC236}">
              <a16:creationId xmlns:a16="http://schemas.microsoft.com/office/drawing/2014/main" id="{59653016-096B-416C-92C5-B88FAB46E6AF}"/>
            </a:ext>
          </a:extLst>
        </xdr:cNvPr>
        <xdr:cNvSpPr txBox="1"/>
      </xdr:nvSpPr>
      <xdr:spPr>
        <a:xfrm>
          <a:off x="848588" y="848592"/>
          <a:ext cx="972000" cy="14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kern="1200"/>
            <a:t>No.</a:t>
          </a:r>
          <a:r>
            <a:rPr lang="en-IN" sz="800" kern="1200" baseline="0"/>
            <a:t> of Patient </a:t>
          </a:r>
          <a:endParaRPr lang="en-IN" sz="800" kern="1200"/>
        </a:p>
      </xdr:txBody>
    </xdr:sp>
    <xdr:clientData/>
  </xdr:twoCellAnchor>
  <xdr:twoCellAnchor>
    <xdr:from>
      <xdr:col>3</xdr:col>
      <xdr:colOff>288634</xdr:colOff>
      <xdr:row>3</xdr:row>
      <xdr:rowOff>161639</xdr:rowOff>
    </xdr:from>
    <xdr:to>
      <xdr:col>4</xdr:col>
      <xdr:colOff>369452</xdr:colOff>
      <xdr:row>4</xdr:row>
      <xdr:rowOff>173185</xdr:rowOff>
    </xdr:to>
    <xdr:sp macro="" textlink="'Pivot Report'!A11">
      <xdr:nvSpPr>
        <xdr:cNvPr id="50" name="TextBox 49">
          <a:extLst>
            <a:ext uri="{FF2B5EF4-FFF2-40B4-BE49-F238E27FC236}">
              <a16:creationId xmlns:a16="http://schemas.microsoft.com/office/drawing/2014/main" id="{ED39BB73-C7DA-4F33-B5A4-9601B690F70B}"/>
            </a:ext>
          </a:extLst>
        </xdr:cNvPr>
        <xdr:cNvSpPr txBox="1"/>
      </xdr:nvSpPr>
      <xdr:spPr>
        <a:xfrm>
          <a:off x="2124361" y="715821"/>
          <a:ext cx="692727" cy="196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D19E04-71F4-4374-9021-E8B4AFD84A89}" type="TxLink">
            <a:rPr lang="en-US" sz="1100" b="0" i="0" u="none" strike="noStrike" kern="1200">
              <a:solidFill>
                <a:srgbClr val="000000"/>
              </a:solidFill>
              <a:latin typeface="Aptos Narrow"/>
            </a:rPr>
            <a:pPr algn="ctr"/>
            <a:t>36.39</a:t>
          </a:fld>
          <a:endParaRPr lang="en-IN" sz="1100" kern="1200"/>
        </a:p>
      </xdr:txBody>
    </xdr:sp>
    <xdr:clientData/>
  </xdr:twoCellAnchor>
  <xdr:twoCellAnchor>
    <xdr:from>
      <xdr:col>3</xdr:col>
      <xdr:colOff>75044</xdr:colOff>
      <xdr:row>4</xdr:row>
      <xdr:rowOff>86595</xdr:rowOff>
    </xdr:from>
    <xdr:to>
      <xdr:col>5</xdr:col>
      <xdr:colOff>28863</xdr:colOff>
      <xdr:row>5</xdr:row>
      <xdr:rowOff>117868</xdr:rowOff>
    </xdr:to>
    <xdr:sp macro="" textlink="'Pivot Report'!A7">
      <xdr:nvSpPr>
        <xdr:cNvPr id="51" name="TextBox 50">
          <a:extLst>
            <a:ext uri="{FF2B5EF4-FFF2-40B4-BE49-F238E27FC236}">
              <a16:creationId xmlns:a16="http://schemas.microsoft.com/office/drawing/2014/main" id="{293B428E-43B9-4A69-BFC2-D8E96A90A003}"/>
            </a:ext>
          </a:extLst>
        </xdr:cNvPr>
        <xdr:cNvSpPr txBox="1"/>
      </xdr:nvSpPr>
      <xdr:spPr>
        <a:xfrm>
          <a:off x="1910771" y="825504"/>
          <a:ext cx="1177637"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kern="1200"/>
            <a:t>Average</a:t>
          </a:r>
          <a:r>
            <a:rPr lang="en-IN" sz="800" kern="1200" baseline="0"/>
            <a:t> Wait Time</a:t>
          </a:r>
          <a:endParaRPr lang="en-IN" sz="800" kern="1200"/>
        </a:p>
      </xdr:txBody>
    </xdr:sp>
    <xdr:clientData/>
  </xdr:twoCellAnchor>
  <xdr:twoCellAnchor>
    <xdr:from>
      <xdr:col>5</xdr:col>
      <xdr:colOff>363681</xdr:colOff>
      <xdr:row>3</xdr:row>
      <xdr:rowOff>155866</xdr:rowOff>
    </xdr:from>
    <xdr:to>
      <xdr:col>6</xdr:col>
      <xdr:colOff>444498</xdr:colOff>
      <xdr:row>4</xdr:row>
      <xdr:rowOff>167412</xdr:rowOff>
    </xdr:to>
    <xdr:sp macro="" textlink="'Pivot Report'!A15">
      <xdr:nvSpPr>
        <xdr:cNvPr id="52" name="TextBox 51">
          <a:extLst>
            <a:ext uri="{FF2B5EF4-FFF2-40B4-BE49-F238E27FC236}">
              <a16:creationId xmlns:a16="http://schemas.microsoft.com/office/drawing/2014/main" id="{AABE31E7-DB6C-45BE-982C-5D2C9454E04A}"/>
            </a:ext>
          </a:extLst>
        </xdr:cNvPr>
        <xdr:cNvSpPr txBox="1"/>
      </xdr:nvSpPr>
      <xdr:spPr>
        <a:xfrm>
          <a:off x="3423226" y="710048"/>
          <a:ext cx="692727" cy="196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FF48C8-4D46-40E8-B7B8-30A665236B22}" type="TxLink">
            <a:rPr lang="en-US" sz="1100" b="0" i="0" u="none" strike="noStrike" kern="1200">
              <a:solidFill>
                <a:srgbClr val="000000"/>
              </a:solidFill>
              <a:latin typeface="Aptos Narrow"/>
            </a:rPr>
            <a:pPr algn="ctr"/>
            <a:t>5.06</a:t>
          </a:fld>
          <a:endParaRPr lang="en-IN" sz="1100" kern="1200"/>
        </a:p>
      </xdr:txBody>
    </xdr:sp>
    <xdr:clientData/>
  </xdr:twoCellAnchor>
  <xdr:twoCellAnchor>
    <xdr:from>
      <xdr:col>5</xdr:col>
      <xdr:colOff>57727</xdr:colOff>
      <xdr:row>4</xdr:row>
      <xdr:rowOff>80822</xdr:rowOff>
    </xdr:from>
    <xdr:to>
      <xdr:col>7</xdr:col>
      <xdr:colOff>165908</xdr:colOff>
      <xdr:row>5</xdr:row>
      <xdr:rowOff>112095</xdr:rowOff>
    </xdr:to>
    <xdr:sp macro="" textlink="'Pivot Report'!A7">
      <xdr:nvSpPr>
        <xdr:cNvPr id="53" name="TextBox 52">
          <a:extLst>
            <a:ext uri="{FF2B5EF4-FFF2-40B4-BE49-F238E27FC236}">
              <a16:creationId xmlns:a16="http://schemas.microsoft.com/office/drawing/2014/main" id="{4C0239E7-7016-4060-A164-E6378776DDD1}"/>
            </a:ext>
          </a:extLst>
        </xdr:cNvPr>
        <xdr:cNvSpPr txBox="1"/>
      </xdr:nvSpPr>
      <xdr:spPr>
        <a:xfrm>
          <a:off x="3117272" y="819731"/>
          <a:ext cx="1332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kern="1200"/>
            <a:t>Patient</a:t>
          </a:r>
          <a:r>
            <a:rPr lang="en-IN" sz="800" kern="1200" baseline="0"/>
            <a:t> Sacitsaction Score</a:t>
          </a:r>
          <a:endParaRPr lang="en-IN" sz="800" kern="1200"/>
        </a:p>
      </xdr:txBody>
    </xdr:sp>
    <xdr:clientData/>
  </xdr:twoCellAnchor>
  <xdr:twoCellAnchor editAs="oneCell">
    <xdr:from>
      <xdr:col>2</xdr:col>
      <xdr:colOff>394886</xdr:colOff>
      <xdr:row>3</xdr:row>
      <xdr:rowOff>46180</xdr:rowOff>
    </xdr:from>
    <xdr:to>
      <xdr:col>3</xdr:col>
      <xdr:colOff>19626</xdr:colOff>
      <xdr:row>4</xdr:row>
      <xdr:rowOff>103909</xdr:rowOff>
    </xdr:to>
    <xdr:pic>
      <xdr:nvPicPr>
        <xdr:cNvPr id="57" name="Graphic 56" descr="User with solid fill">
          <a:extLst>
            <a:ext uri="{FF2B5EF4-FFF2-40B4-BE49-F238E27FC236}">
              <a16:creationId xmlns:a16="http://schemas.microsoft.com/office/drawing/2014/main" id="{117813BB-2B5F-D3BE-EC9E-DBFAE8B4D3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8704" y="600362"/>
          <a:ext cx="236649" cy="242456"/>
        </a:xfrm>
        <a:prstGeom prst="rect">
          <a:avLst/>
        </a:prstGeom>
      </xdr:spPr>
    </xdr:pic>
    <xdr:clientData/>
  </xdr:twoCellAnchor>
  <xdr:twoCellAnchor editAs="oneCell">
    <xdr:from>
      <xdr:col>4</xdr:col>
      <xdr:colOff>357910</xdr:colOff>
      <xdr:row>3</xdr:row>
      <xdr:rowOff>51954</xdr:rowOff>
    </xdr:from>
    <xdr:to>
      <xdr:col>5</xdr:col>
      <xdr:colOff>75047</xdr:colOff>
      <xdr:row>4</xdr:row>
      <xdr:rowOff>63500</xdr:rowOff>
    </xdr:to>
    <xdr:pic>
      <xdr:nvPicPr>
        <xdr:cNvPr id="59" name="Graphic 58" descr="Hourglass 90% with solid fill">
          <a:extLst>
            <a:ext uri="{FF2B5EF4-FFF2-40B4-BE49-F238E27FC236}">
              <a16:creationId xmlns:a16="http://schemas.microsoft.com/office/drawing/2014/main" id="{11029E0A-65FA-C9A5-C978-6FDF902420F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05546" y="606136"/>
          <a:ext cx="329046" cy="196273"/>
        </a:xfrm>
        <a:prstGeom prst="rect">
          <a:avLst/>
        </a:prstGeom>
      </xdr:spPr>
    </xdr:pic>
    <xdr:clientData/>
  </xdr:twoCellAnchor>
  <xdr:twoCellAnchor editAs="oneCell">
    <xdr:from>
      <xdr:col>6</xdr:col>
      <xdr:colOff>254000</xdr:colOff>
      <xdr:row>2</xdr:row>
      <xdr:rowOff>115454</xdr:rowOff>
    </xdr:from>
    <xdr:to>
      <xdr:col>7</xdr:col>
      <xdr:colOff>51955</xdr:colOff>
      <xdr:row>4</xdr:row>
      <xdr:rowOff>150091</xdr:rowOff>
    </xdr:to>
    <xdr:pic>
      <xdr:nvPicPr>
        <xdr:cNvPr id="61" name="Graphic 60" descr="Rating Star with solid fill">
          <a:extLst>
            <a:ext uri="{FF2B5EF4-FFF2-40B4-BE49-F238E27FC236}">
              <a16:creationId xmlns:a16="http://schemas.microsoft.com/office/drawing/2014/main" id="{1D6D4D5D-9F43-EF1B-54C2-9D3733A5F5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25455" y="484909"/>
          <a:ext cx="409864" cy="404091"/>
        </a:xfrm>
        <a:prstGeom prst="rect">
          <a:avLst/>
        </a:prstGeom>
      </xdr:spPr>
    </xdr:pic>
    <xdr:clientData/>
  </xdr:twoCellAnchor>
  <xdr:twoCellAnchor editAs="oneCell">
    <xdr:from>
      <xdr:col>0</xdr:col>
      <xdr:colOff>86590</xdr:colOff>
      <xdr:row>3</xdr:row>
      <xdr:rowOff>57729</xdr:rowOff>
    </xdr:from>
    <xdr:to>
      <xdr:col>1</xdr:col>
      <xdr:colOff>114131</xdr:colOff>
      <xdr:row>15</xdr:row>
      <xdr:rowOff>109002</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99870D46-0730-435F-AAA3-460254D93BB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6590" y="611911"/>
              <a:ext cx="639450" cy="22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167409</xdr:colOff>
      <xdr:row>4</xdr:row>
      <xdr:rowOff>86590</xdr:rowOff>
    </xdr:from>
    <xdr:to>
      <xdr:col>3</xdr:col>
      <xdr:colOff>419591</xdr:colOff>
      <xdr:row>9</xdr:row>
      <xdr:rowOff>150091</xdr:rowOff>
    </xdr:to>
    <xdr:graphicFrame macro="">
      <xdr:nvGraphicFramePr>
        <xdr:cNvPr id="6" name="Chart 5">
          <a:hlinkClick xmlns:r="http://schemas.openxmlformats.org/officeDocument/2006/relationships" r:id="rId9"/>
          <a:extLst>
            <a:ext uri="{FF2B5EF4-FFF2-40B4-BE49-F238E27FC236}">
              <a16:creationId xmlns:a16="http://schemas.microsoft.com/office/drawing/2014/main" id="{023B3869-DCE9-41EF-8370-196EBB990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34637</xdr:colOff>
      <xdr:row>5</xdr:row>
      <xdr:rowOff>69272</xdr:rowOff>
    </xdr:from>
    <xdr:to>
      <xdr:col>5</xdr:col>
      <xdr:colOff>269500</xdr:colOff>
      <xdr:row>7</xdr:row>
      <xdr:rowOff>71042</xdr:rowOff>
    </xdr:to>
    <xdr:graphicFrame macro="">
      <xdr:nvGraphicFramePr>
        <xdr:cNvPr id="10" name="Chart 9">
          <a:hlinkClick xmlns:r="http://schemas.openxmlformats.org/officeDocument/2006/relationships" r:id="rId11"/>
          <a:extLst>
            <a:ext uri="{FF2B5EF4-FFF2-40B4-BE49-F238E27FC236}">
              <a16:creationId xmlns:a16="http://schemas.microsoft.com/office/drawing/2014/main" id="{8A32CC86-5090-4CD5-A4AB-0CF8A176D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51953</xdr:colOff>
      <xdr:row>4</xdr:row>
      <xdr:rowOff>103910</xdr:rowOff>
    </xdr:from>
    <xdr:to>
      <xdr:col>7</xdr:col>
      <xdr:colOff>225135</xdr:colOff>
      <xdr:row>7</xdr:row>
      <xdr:rowOff>132773</xdr:rowOff>
    </xdr:to>
    <xdr:graphicFrame macro="">
      <xdr:nvGraphicFramePr>
        <xdr:cNvPr id="12" name="Chart 11">
          <a:hlinkClick xmlns:r="http://schemas.openxmlformats.org/officeDocument/2006/relationships" r:id="rId1"/>
          <a:extLst>
            <a:ext uri="{FF2B5EF4-FFF2-40B4-BE49-F238E27FC236}">
              <a16:creationId xmlns:a16="http://schemas.microsoft.com/office/drawing/2014/main" id="{70F32ECA-0B36-4CDC-A0B6-BAEED6547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219364</xdr:colOff>
      <xdr:row>9</xdr:row>
      <xdr:rowOff>144319</xdr:rowOff>
    </xdr:from>
    <xdr:to>
      <xdr:col>6</xdr:col>
      <xdr:colOff>554181</xdr:colOff>
      <xdr:row>14</xdr:row>
      <xdr:rowOff>144319</xdr:rowOff>
    </xdr:to>
    <xdr:graphicFrame macro="">
      <xdr:nvGraphicFramePr>
        <xdr:cNvPr id="34" name="Chart 33">
          <a:extLst>
            <a:ext uri="{FF2B5EF4-FFF2-40B4-BE49-F238E27FC236}">
              <a16:creationId xmlns:a16="http://schemas.microsoft.com/office/drawing/2014/main" id="{213F62EE-A5B4-4BC3-9FDF-138014258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381000</xdr:colOff>
      <xdr:row>14</xdr:row>
      <xdr:rowOff>69272</xdr:rowOff>
    </xdr:from>
    <xdr:to>
      <xdr:col>5</xdr:col>
      <xdr:colOff>237273</xdr:colOff>
      <xdr:row>15</xdr:row>
      <xdr:rowOff>100545</xdr:rowOff>
    </xdr:to>
    <xdr:sp macro="" textlink="">
      <xdr:nvSpPr>
        <xdr:cNvPr id="35" name="TextBox 34">
          <a:extLst>
            <a:ext uri="{FF2B5EF4-FFF2-40B4-BE49-F238E27FC236}">
              <a16:creationId xmlns:a16="http://schemas.microsoft.com/office/drawing/2014/main" id="{1685985D-7E9C-43E3-87D8-1D848C67E9DA}"/>
            </a:ext>
          </a:extLst>
        </xdr:cNvPr>
        <xdr:cNvSpPr txBox="1"/>
      </xdr:nvSpPr>
      <xdr:spPr>
        <a:xfrm>
          <a:off x="1604818" y="2655454"/>
          <a:ext cx="1692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kern="1200"/>
            <a:t>No.</a:t>
          </a:r>
          <a:r>
            <a:rPr lang="en-IN" sz="800" kern="1200" baseline="0"/>
            <a:t> of Patient by Age Group</a:t>
          </a:r>
          <a:endParaRPr lang="en-IN" sz="800" kern="1200"/>
        </a:p>
      </xdr:txBody>
    </xdr:sp>
    <xdr:clientData/>
  </xdr:twoCellAnchor>
  <xdr:twoCellAnchor editAs="absolute">
    <xdr:from>
      <xdr:col>7</xdr:col>
      <xdr:colOff>161636</xdr:colOff>
      <xdr:row>0</xdr:row>
      <xdr:rowOff>51954</xdr:rowOff>
    </xdr:from>
    <xdr:to>
      <xdr:col>9</xdr:col>
      <xdr:colOff>202045</xdr:colOff>
      <xdr:row>5</xdr:row>
      <xdr:rowOff>115453</xdr:rowOff>
    </xdr:to>
    <xdr:graphicFrame macro="">
      <xdr:nvGraphicFramePr>
        <xdr:cNvPr id="40" name="Chart 39">
          <a:extLst>
            <a:ext uri="{FF2B5EF4-FFF2-40B4-BE49-F238E27FC236}">
              <a16:creationId xmlns:a16="http://schemas.microsoft.com/office/drawing/2014/main" id="{8574D0F2-6C80-42CE-A0AF-90A34001E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305954</xdr:colOff>
      <xdr:row>5</xdr:row>
      <xdr:rowOff>11546</xdr:rowOff>
    </xdr:from>
    <xdr:to>
      <xdr:col>9</xdr:col>
      <xdr:colOff>342136</xdr:colOff>
      <xdr:row>6</xdr:row>
      <xdr:rowOff>63500</xdr:rowOff>
    </xdr:to>
    <xdr:sp macro="" textlink="">
      <xdr:nvSpPr>
        <xdr:cNvPr id="41" name="TextBox 40">
          <a:extLst>
            <a:ext uri="{FF2B5EF4-FFF2-40B4-BE49-F238E27FC236}">
              <a16:creationId xmlns:a16="http://schemas.microsoft.com/office/drawing/2014/main" id="{457CB0B0-90EE-97D8-3C06-820A6786248D}"/>
            </a:ext>
          </a:extLst>
        </xdr:cNvPr>
        <xdr:cNvSpPr txBox="1"/>
      </xdr:nvSpPr>
      <xdr:spPr>
        <a:xfrm>
          <a:off x="4589318" y="935182"/>
          <a:ext cx="1260000" cy="236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b="0" kern="1200"/>
            <a:t>Patient</a:t>
          </a:r>
          <a:r>
            <a:rPr lang="en-IN" sz="800" b="0" kern="1200" baseline="0"/>
            <a:t>  Attend Status</a:t>
          </a:r>
          <a:endParaRPr lang="en-IN" sz="800" b="0" kern="1200"/>
        </a:p>
      </xdr:txBody>
    </xdr:sp>
    <xdr:clientData/>
  </xdr:twoCellAnchor>
  <xdr:twoCellAnchor editAs="absolute">
    <xdr:from>
      <xdr:col>9</xdr:col>
      <xdr:colOff>213591</xdr:colOff>
      <xdr:row>0</xdr:row>
      <xdr:rowOff>63498</xdr:rowOff>
    </xdr:from>
    <xdr:to>
      <xdr:col>11</xdr:col>
      <xdr:colOff>369454</xdr:colOff>
      <xdr:row>6</xdr:row>
      <xdr:rowOff>23091</xdr:rowOff>
    </xdr:to>
    <xdr:graphicFrame macro="">
      <xdr:nvGraphicFramePr>
        <xdr:cNvPr id="42" name="Chart 41">
          <a:extLst>
            <a:ext uri="{FF2B5EF4-FFF2-40B4-BE49-F238E27FC236}">
              <a16:creationId xmlns:a16="http://schemas.microsoft.com/office/drawing/2014/main" id="{93A2BA4D-C200-4BAE-BBE8-03600F82A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178954</xdr:colOff>
      <xdr:row>6</xdr:row>
      <xdr:rowOff>103908</xdr:rowOff>
    </xdr:from>
    <xdr:to>
      <xdr:col>11</xdr:col>
      <xdr:colOff>323273</xdr:colOff>
      <xdr:row>14</xdr:row>
      <xdr:rowOff>167409</xdr:rowOff>
    </xdr:to>
    <xdr:graphicFrame macro="">
      <xdr:nvGraphicFramePr>
        <xdr:cNvPr id="43" name="Chart 42">
          <a:extLst>
            <a:ext uri="{FF2B5EF4-FFF2-40B4-BE49-F238E27FC236}">
              <a16:creationId xmlns:a16="http://schemas.microsoft.com/office/drawing/2014/main" id="{2CA98E20-69AC-4975-9A94-6FE3D2A63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565726</xdr:colOff>
      <xdr:row>14</xdr:row>
      <xdr:rowOff>86591</xdr:rowOff>
    </xdr:from>
    <xdr:to>
      <xdr:col>10</xdr:col>
      <xdr:colOff>493999</xdr:colOff>
      <xdr:row>15</xdr:row>
      <xdr:rowOff>115455</xdr:rowOff>
    </xdr:to>
    <xdr:sp macro="" textlink="">
      <xdr:nvSpPr>
        <xdr:cNvPr id="44" name="TextBox 43">
          <a:extLst>
            <a:ext uri="{FF2B5EF4-FFF2-40B4-BE49-F238E27FC236}">
              <a16:creationId xmlns:a16="http://schemas.microsoft.com/office/drawing/2014/main" id="{8D5B72EB-CC85-6FFD-4D44-0C409C1707E5}"/>
            </a:ext>
          </a:extLst>
        </xdr:cNvPr>
        <xdr:cNvSpPr txBox="1"/>
      </xdr:nvSpPr>
      <xdr:spPr>
        <a:xfrm>
          <a:off x="4849090" y="2672773"/>
          <a:ext cx="1764000" cy="21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kern="1200"/>
            <a:t>No. Of Patient by</a:t>
          </a:r>
          <a:r>
            <a:rPr lang="en-IN" sz="800" kern="1200" baseline="0"/>
            <a:t> Depatment Referal</a:t>
          </a:r>
          <a:endParaRPr lang="en-IN" sz="800" kern="1200"/>
        </a:p>
      </xdr:txBody>
    </xdr:sp>
    <xdr:clientData/>
  </xdr:twoCellAnchor>
  <xdr:twoCellAnchor editAs="absolute">
    <xdr:from>
      <xdr:col>5</xdr:col>
      <xdr:colOff>329045</xdr:colOff>
      <xdr:row>0</xdr:row>
      <xdr:rowOff>127001</xdr:rowOff>
    </xdr:from>
    <xdr:to>
      <xdr:col>7</xdr:col>
      <xdr:colOff>86589</xdr:colOff>
      <xdr:row>2</xdr:row>
      <xdr:rowOff>127000</xdr:rowOff>
    </xdr:to>
    <mc:AlternateContent xmlns:mc="http://schemas.openxmlformats.org/markup-compatibility/2006" xmlns:a14="http://schemas.microsoft.com/office/drawing/2010/main">
      <mc:Choice Requires="a14">
        <xdr:graphicFrame macro="">
          <xdr:nvGraphicFramePr>
            <xdr:cNvPr id="45" name="Date (Year)">
              <a:extLst>
                <a:ext uri="{FF2B5EF4-FFF2-40B4-BE49-F238E27FC236}">
                  <a16:creationId xmlns:a16="http://schemas.microsoft.com/office/drawing/2014/main" id="{A23E3F96-ED88-4958-8777-8BFE73ED94F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88590" y="127001"/>
              <a:ext cx="981363" cy="369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173182</xdr:colOff>
          <xdr:row>7</xdr:row>
          <xdr:rowOff>40409</xdr:rowOff>
        </xdr:from>
        <xdr:to>
          <xdr:col>7</xdr:col>
          <xdr:colOff>80818</xdr:colOff>
          <xdr:row>10</xdr:row>
          <xdr:rowOff>11545</xdr:rowOff>
        </xdr:to>
        <xdr:pic>
          <xdr:nvPicPr>
            <xdr:cNvPr id="55" name="Picture 54">
              <a:extLst>
                <a:ext uri="{FF2B5EF4-FFF2-40B4-BE49-F238E27FC236}">
                  <a16:creationId xmlns:a16="http://schemas.microsoft.com/office/drawing/2014/main" id="{43EAC4A6-F020-45CB-26C0-731E15BD3041}"/>
                </a:ext>
              </a:extLst>
            </xdr:cNvPr>
            <xdr:cNvPicPr>
              <a:picLocks noChangeAspect="1" noChangeArrowheads="1"/>
              <a:extLst>
                <a:ext uri="{84589F7E-364E-4C9E-8A38-B11213B215E9}">
                  <a14:cameraTool cellRange="'Pivot Report'!$A$47:$D$49" spid="_x0000_s1079"/>
                </a:ext>
              </a:extLst>
            </xdr:cNvPicPr>
          </xdr:nvPicPr>
          <xdr:blipFill>
            <a:blip xmlns:r="http://schemas.openxmlformats.org/officeDocument/2006/relationships" r:embed="rId18"/>
            <a:srcRect/>
            <a:stretch>
              <a:fillRect/>
            </a:stretch>
          </xdr:blipFill>
          <xdr:spPr bwMode="auto">
            <a:xfrm>
              <a:off x="785091" y="1333500"/>
              <a:ext cx="3579091" cy="525318"/>
            </a:xfrm>
            <a:prstGeom prst="roundRect">
              <a:avLst>
                <a:gd name="adj" fmla="val 16667"/>
              </a:avLst>
            </a:prstGeom>
            <a:solidFill>
              <a:schemeClr val="bg1"/>
            </a:solidFill>
            <a:ln>
              <a:noFill/>
            </a:ln>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cdr:x>
      <cdr:y>0.83243</cdr:y>
    </cdr:from>
    <cdr:to>
      <cdr:x>1</cdr:x>
      <cdr:y>1</cdr:y>
    </cdr:to>
    <cdr:sp macro="" textlink="">
      <cdr:nvSpPr>
        <cdr:cNvPr id="2" name="TextBox 1">
          <a:extLst xmlns:a="http://schemas.openxmlformats.org/drawingml/2006/main">
            <a:ext uri="{FF2B5EF4-FFF2-40B4-BE49-F238E27FC236}">
              <a16:creationId xmlns:a16="http://schemas.microsoft.com/office/drawing/2014/main" id="{B1ABD993-7171-8E4F-8772-5462BA1364EC}"/>
            </a:ext>
          </a:extLst>
        </cdr:cNvPr>
        <cdr:cNvSpPr txBox="1"/>
      </cdr:nvSpPr>
      <cdr:spPr>
        <a:xfrm xmlns:a="http://schemas.openxmlformats.org/drawingml/2006/main">
          <a:off x="0" y="889001"/>
          <a:ext cx="1379681" cy="1789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800" kern="1200"/>
            <a:t>Gender Wise</a:t>
          </a:r>
          <a:r>
            <a:rPr lang="en-IN" sz="800" kern="1200" baseline="0"/>
            <a:t> Analysis</a:t>
          </a:r>
          <a:endParaRPr lang="en-IN" sz="8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50800</xdr:colOff>
      <xdr:row>0</xdr:row>
      <xdr:rowOff>6350</xdr:rowOff>
    </xdr:from>
    <xdr:to>
      <xdr:col>12</xdr:col>
      <xdr:colOff>495300</xdr:colOff>
      <xdr:row>19</xdr:row>
      <xdr:rowOff>25400</xdr:rowOff>
    </xdr:to>
    <xdr:graphicFrame macro="">
      <xdr:nvGraphicFramePr>
        <xdr:cNvPr id="5" name="Chart 4">
          <a:extLst>
            <a:ext uri="{FF2B5EF4-FFF2-40B4-BE49-F238E27FC236}">
              <a16:creationId xmlns:a16="http://schemas.microsoft.com/office/drawing/2014/main" id="{A54A818A-E452-4722-8DC4-D14242147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0</xdr:row>
      <xdr:rowOff>0</xdr:rowOff>
    </xdr:from>
    <xdr:to>
      <xdr:col>0</xdr:col>
      <xdr:colOff>387350</xdr:colOff>
      <xdr:row>2</xdr:row>
      <xdr:rowOff>0</xdr:rowOff>
    </xdr:to>
    <xdr:pic>
      <xdr:nvPicPr>
        <xdr:cNvPr id="7" name="Graphic 6" descr="Work from home house with solid fill">
          <a:hlinkClick xmlns:r="http://schemas.openxmlformats.org/officeDocument/2006/relationships" r:id="rId2"/>
          <a:extLst>
            <a:ext uri="{FF2B5EF4-FFF2-40B4-BE49-F238E27FC236}">
              <a16:creationId xmlns:a16="http://schemas.microsoft.com/office/drawing/2014/main" id="{BACA3919-2542-6397-4659-FDA0956BBE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 y="0"/>
          <a:ext cx="368300" cy="368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82550</xdr:colOff>
      <xdr:row>0</xdr:row>
      <xdr:rowOff>69850</xdr:rowOff>
    </xdr:from>
    <xdr:to>
      <xdr:col>12</xdr:col>
      <xdr:colOff>520700</xdr:colOff>
      <xdr:row>19</xdr:row>
      <xdr:rowOff>82550</xdr:rowOff>
    </xdr:to>
    <xdr:graphicFrame macro="">
      <xdr:nvGraphicFramePr>
        <xdr:cNvPr id="2" name="Chart 1">
          <a:extLst>
            <a:ext uri="{FF2B5EF4-FFF2-40B4-BE49-F238E27FC236}">
              <a16:creationId xmlns:a16="http://schemas.microsoft.com/office/drawing/2014/main" id="{0E3E2159-91E7-4145-9A6E-F8ACDA331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0.01968</cdr:x>
      <cdr:y>2.84775E-7</cdr:y>
    </cdr:from>
    <cdr:to>
      <cdr:x>0.06634</cdr:x>
      <cdr:y>0.10937</cdr:y>
    </cdr:to>
    <cdr:pic>
      <cdr:nvPicPr>
        <cdr:cNvPr id="4" name="Graphic 3"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336748D-EA1D-CD41-A0F5-2B869BA5B27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2571" y="1"/>
          <a:ext cx="361780" cy="384041"/>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95250</xdr:colOff>
      <xdr:row>0</xdr:row>
      <xdr:rowOff>44450</xdr:rowOff>
    </xdr:from>
    <xdr:to>
      <xdr:col>12</xdr:col>
      <xdr:colOff>508000</xdr:colOff>
      <xdr:row>19</xdr:row>
      <xdr:rowOff>76200</xdr:rowOff>
    </xdr:to>
    <xdr:graphicFrame macro="">
      <xdr:nvGraphicFramePr>
        <xdr:cNvPr id="2" name="Chart 1">
          <a:extLst>
            <a:ext uri="{FF2B5EF4-FFF2-40B4-BE49-F238E27FC236}">
              <a16:creationId xmlns:a16="http://schemas.microsoft.com/office/drawing/2014/main" id="{116E14C0-8320-4B51-868D-A5A359DF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0.00712</cdr:x>
      <cdr:y>0</cdr:y>
    </cdr:from>
    <cdr:to>
      <cdr:x>0.05516</cdr:x>
      <cdr:y>0.11321</cdr:y>
    </cdr:to>
    <cdr:pic>
      <cdr:nvPicPr>
        <cdr:cNvPr id="3" name="Graphic 2"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9FCB369-916D-E9B0-A155-DC118806E7B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0"/>
          <a:ext cx="342900" cy="3429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0995367" createdVersion="5" refreshedVersion="8" minRefreshableVersion="3" recordCount="0" supportSubquery="1" supportAdvancedDrill="1" xr:uid="{D5CEBF2A-89F8-45D9-A764-B7DD99A0EFF6}">
  <cacheSource type="external" connectionId="3"/>
  <cacheFields count="4">
    <cacheField name="[Calender_Table].[Date (Month)].[Date (Month)]" caption="Date (Month)" numFmtId="0" hierarchy="1" level="1">
      <sharedItems count="1">
        <s v="Oct"/>
      </sharedItems>
    </cacheField>
    <cacheField name="[Calender_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1226852" createdVersion="5" refreshedVersion="8" minRefreshableVersion="3" recordCount="0" supportSubquery="1" supportAdvancedDrill="1" xr:uid="{6A96DA77-4FB6-46BD-BADE-E7557E511902}">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1689814" createdVersion="5" refreshedVersion="8" minRefreshableVersion="3" recordCount="0" supportSubquery="1" supportAdvancedDrill="1" xr:uid="{E495FA38-60A2-435F-8295-7EDAA7C8214A}">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es].[Patient Attend states]" caption="Patient Attend states" numFmtId="0" hierarchy="17" level="1">
      <sharedItems count="2">
        <s v="Delay"/>
        <s v="Ontime"/>
      </sharedItems>
    </cacheField>
    <cacheField name="[Measures].[Count of Patient Attend states]" caption="Count of Patient Attend state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2268522" createdVersion="5" refreshedVersion="8" minRefreshableVersion="3" recordCount="0" supportSubquery="1" supportAdvancedDrill="1" xr:uid="{BF461CBD-AAEB-4958-8D5B-5F07FF63DDA8}">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2847222" createdVersion="5" refreshedVersion="8" minRefreshableVersion="3" recordCount="0" supportSubquery="1" supportAdvancedDrill="1" xr:uid="{A4D1CB6F-15E7-448C-8F93-40F11B7652A6}">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3078707" createdVersion="5" refreshedVersion="8" minRefreshableVersion="3" recordCount="0" supportSubquery="1" supportAdvancedDrill="1" xr:uid="{4211A32F-130F-4D49-9B34-C25ED94C37D2}">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3541669" createdVersion="5" refreshedVersion="8" minRefreshableVersion="3" recordCount="0" supportSubquery="1" supportAdvancedDrill="1" xr:uid="{05B526CC-DE88-4AF8-84D3-A2450E12C46E}">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3773146" createdVersion="5" refreshedVersion="8" minRefreshableVersion="3" recordCount="0" supportSubquery="1" supportAdvancedDrill="1" xr:uid="{23662DF3-F08D-4FDF-8665-62DF484B7255}">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4351854" createdVersion="5" refreshedVersion="8" minRefreshableVersion="3" recordCount="0" supportSubquery="1" supportAdvancedDrill="1" xr:uid="{B465944C-9083-45F4-AA7A-CE9000844DE2}">
  <cacheSource type="external" connectionId="3"/>
  <cacheFields count="4">
    <cacheField name="[Calender_Table].[Date (Day)].[Date (Day)]" caption="Date (Day)" numFmtId="0" hierarchy="2" level="1">
      <sharedItems count="61">
        <s v="1-Aug"/>
        <s v="2-Aug"/>
        <s v="3-Aug"/>
        <s v="4-Aug"/>
        <s v="5-Aug"/>
        <s v="6-Aug"/>
        <s v="7-Aug"/>
        <s v="8-Aug"/>
        <s v="9-Aug"/>
        <s v="10-Aug"/>
        <s v="11-Aug"/>
        <s v="12-Aug"/>
        <s v="13-Aug"/>
        <s v="14-Aug"/>
        <s v="15-Aug"/>
        <s v="16-Aug"/>
        <s v="17-Aug"/>
        <s v="18-Aug"/>
        <s v="19-Aug"/>
        <s v="20-Aug"/>
        <s v="21-Aug"/>
        <s v="22-Aug"/>
        <s v="23-Aug"/>
        <s v="24-Aug"/>
        <s v="25-Aug"/>
        <s v="26-Aug"/>
        <s v="27-Aug"/>
        <s v="28-Aug"/>
        <s v="29-Aug"/>
        <s v="30-Aug"/>
        <s v="31-Aug"/>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4814816" createdVersion="5" refreshedVersion="8" minRefreshableVersion="3" recordCount="0" supportSubquery="1" supportAdvancedDrill="1" xr:uid="{D89AEEE4-FC4A-42D3-8C4D-65E386DABDAE}">
  <cacheSource type="external" connectionId="3"/>
  <cacheFields count="4">
    <cacheField name="[Calender_Table].[Date (Day)].[Date (Day)]" caption="Date (Day)" numFmtId="0" hierarchy="2" level="1">
      <sharedItems count="61">
        <s v="1-Aug"/>
        <s v="2-Aug"/>
        <s v="3-Aug"/>
        <s v="4-Aug"/>
        <s v="5-Aug"/>
        <s v="6-Aug"/>
        <s v="7-Aug"/>
        <s v="8-Aug"/>
        <s v="9-Aug"/>
        <s v="10-Aug"/>
        <s v="11-Aug"/>
        <s v="12-Aug"/>
        <s v="13-Aug"/>
        <s v="14-Aug"/>
        <s v="15-Aug"/>
        <s v="16-Aug"/>
        <s v="17-Aug"/>
        <s v="18-Aug"/>
        <s v="19-Aug"/>
        <s v="20-Aug"/>
        <s v="21-Aug"/>
        <s v="22-Aug"/>
        <s v="23-Aug"/>
        <s v="24-Aug"/>
        <s v="25-Aug"/>
        <s v="26-Aug"/>
        <s v="27-Aug"/>
        <s v="28-Aug"/>
        <s v="29-Aug"/>
        <s v="30-Aug"/>
        <s v="31-Aug"/>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5393516" createdVersion="5" refreshedVersion="8" minRefreshableVersion="3" recordCount="0" supportSubquery="1" supportAdvancedDrill="1" xr:uid="{50778933-7996-49FE-8099-55EE8117AF03}">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614715972224" createdVersion="5" refreshedVersion="8" minRefreshableVersion="3" recordCount="0" supportSubquery="1" supportAdvancedDrill="1" xr:uid="{45A678B4-DF83-45A9-B4A0-38B66155E1DC}">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M, Nandeesha" refreshedDate="45969.55442951389" createdVersion="3" refreshedVersion="8" minRefreshableVersion="3" recordCount="0" supportSubquery="1" supportAdvancedDrill="1" xr:uid="{8593FB6A-D72D-412F-B301-ACD6E80BBCB4}">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es]" caption="Patient Attend states" attribute="1" defaultMemberUniqueName="[Hospital Emergency Room Data].[Patient Attend states].[All]" allUniqueName="[Hospital Emergency Room Data].[Patient Attend state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es]" caption="Count of Patient Attend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033066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F9B17-8F05-4628-A554-DC3B15F70EC8}" name="PivotTable1" cacheId="1638" applyNumberFormats="0" applyBorderFormats="0" applyFontFormats="0" applyPatternFormats="0" applyAlignmentFormats="0" applyWidthHeightFormats="1" dataCaption="Values" tag="14c688c8-870e-4906-a74b-644873f1d1e0"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364DEF-E73E-4CB5-AC7A-3446B0DEFECE}" name="PivotTable8" cacheId="1665" applyNumberFormats="0" applyBorderFormats="0" applyFontFormats="0" applyPatternFormats="0" applyAlignmentFormats="0" applyWidthHeightFormats="1" dataCaption="Values" tag="3bf8c69c-368b-4748-b0b7-39e85e77631b" updatedVersion="8" minRefreshableVersion="3" subtotalHiddenItems="1" itemPrintTitles="1" createdVersion="5" indent="0" outline="1" outlineData="1" multipleFieldFilters="0" chartFormat="9">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105">
      <pivotArea outline="0" collapsedLevelsAreSubtotals="1" fieldPosition="0"/>
    </format>
    <format dxfId="110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AB4A8C-492E-48DE-9E75-B9595DBCBD6D}" name="PivotTable13" cacheId="1635" applyNumberFormats="0" applyBorderFormats="0" applyFontFormats="0" applyPatternFormats="0" applyAlignmentFormats="0" applyWidthHeightFormats="1" dataCaption="Values" tag="3bf8c69c-368b-4748-b0b7-39e85e77631b" updatedVersion="8" minRefreshableVersion="3" subtotalHiddenItems="1" itemPrintTitles="1" createdVersion="5" indent="0" outline="1" outlineData="1" multipleFieldFilters="0" chartFormat="25">
  <location ref="A74:A7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107">
      <pivotArea outline="0" collapsedLevelsAreSubtotals="1" fieldPosition="0"/>
    </format>
    <format dxfId="1106">
      <pivotArea grandRow="1" outline="0" collapsedLevelsAreSubtotals="1" fieldPosition="0"/>
    </format>
  </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D10D78-DC75-4096-A4BE-E5127A8FA996}" name="PivotTable12" cacheId="1647" applyNumberFormats="0" applyBorderFormats="0" applyFontFormats="0" applyPatternFormats="0" applyAlignmentFormats="0" applyWidthHeightFormats="1" dataCaption="Values" tag="3bf8c69c-368b-4748-b0b7-39e85e77631b" updatedVersion="8" minRefreshableVersion="3" subtotalHiddenItems="1" itemPrintTitles="1" createdVersion="5" indent="0" outline="1" outlineData="1" multipleFieldFilters="0" chartFormat="25">
  <location ref="D60:E6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3">
    <format dxfId="1110">
      <pivotArea outline="0" collapsedLevelsAreSubtotals="1" fieldPosition="0"/>
    </format>
    <format dxfId="1109">
      <pivotArea grandRow="1" outline="0" collapsedLevelsAreSubtotals="1" fieldPosition="0"/>
    </format>
    <format dxfId="1108">
      <pivotArea collapsedLevelsAreSubtotals="1" fieldPosition="0">
        <references count="1">
          <reference field="1" count="0"/>
        </references>
      </pivotArea>
    </format>
  </formats>
  <chartFormats count="1">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FF1A4-6CE5-426E-8E60-2C007156267D}" name="PivotTable5" cacheId="1656" applyNumberFormats="0" applyBorderFormats="0" applyFontFormats="0" applyPatternFormats="0" applyAlignmentFormats="0" applyWidthHeightFormats="1" dataCaption="Values" tag="3bf8c69c-368b-4748-b0b7-39e85e77631b"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11">
      <pivotArea outline="0" collapsedLevelsAreSubtotals="1" fieldPosition="0"/>
    </format>
  </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193595-7679-489F-B088-A7FE53A426C3}" name="PivotTable7" cacheId="1662" applyNumberFormats="0" applyBorderFormats="0" applyFontFormats="0" applyPatternFormats="0" applyAlignmentFormats="0" applyWidthHeightFormats="1" dataCaption="Values" tag="14c688c8-870e-4906-a74b-644873f1d1e0" updatedVersion="8" minRefreshableVersion="3" subtotalHiddenItems="1" itemPrintTitles="1" createdVersion="5" indent="0" outline="1" outlineData="1" multipleFieldFilters="0" chartFormat="41">
  <location ref="M6:N38"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7">
    <format>
      <pivotArea field="0" type="button" dataOnly="0" labelOnly="1" outline="0" axis="axisRow" fieldPosition="0"/>
    </format>
    <format>
      <pivotArea dataOnly="0" labelOnly="1" fieldPosition="0">
        <references count="1">
          <reference field="0" count="0"/>
        </references>
      </pivotArea>
    </format>
    <format>
      <pivotArea dataOnly="0" labelOnly="1" grandRow="1" outline="0" fieldPosition="0"/>
    </format>
    <format dxfId="1115">
      <pivotArea collapsedLevelsAreSubtotals="1" fieldPosition="0">
        <references count="1">
          <reference field="0" count="1">
            <x v="31"/>
          </reference>
        </references>
      </pivotArea>
    </format>
    <format dxfId="1114">
      <pivotArea collapsedLevelsAreSubtotals="1" fieldPosition="0">
        <references count="1">
          <reference field="0" count="29">
            <x v="32"/>
            <x v="33"/>
            <x v="34"/>
            <x v="35"/>
            <x v="36"/>
            <x v="37"/>
            <x v="38"/>
            <x v="39"/>
            <x v="40"/>
            <x v="41"/>
            <x v="42"/>
            <x v="43"/>
            <x v="44"/>
            <x v="45"/>
            <x v="46"/>
            <x v="47"/>
            <x v="48"/>
            <x v="49"/>
            <x v="50"/>
            <x v="51"/>
            <x v="52"/>
            <x v="53"/>
            <x v="54"/>
            <x v="55"/>
            <x v="56"/>
            <x v="57"/>
            <x v="58"/>
            <x v="59"/>
            <x v="60"/>
          </reference>
        </references>
      </pivotArea>
    </format>
    <format dxfId="1113">
      <pivotArea collapsedLevelsAreSubtotals="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1112">
      <pivotArea outline="0" collapsedLevelsAreSubtotals="1" fieldPosition="0"/>
    </format>
  </formats>
  <chartFormats count="3">
    <chartFormat chart="30" format="2"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9" format="8"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77F529-9CB0-4036-A72D-B3C2AD963A5F}" name="PivotTable11" cacheId="1644" applyNumberFormats="0" applyBorderFormats="0" applyFontFormats="0" applyPatternFormats="0" applyAlignmentFormats="0" applyWidthHeightFormats="1" dataCaption="Values" tag="3bf8c69c-368b-4748-b0b7-39e85e77631b" updatedVersion="8" minRefreshableVersion="3" subtotalHiddenItems="1" itemPrintTitles="1" createdVersion="5" indent="0" outline="1" outlineData="1" multipleFieldFilters="0" chartFormat="20">
  <location ref="A65: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1118">
      <pivotArea outline="0" collapsedLevelsAreSubtotals="1" fieldPosition="0"/>
    </format>
    <format dxfId="1117">
      <pivotArea grandRow="1" outline="0" collapsedLevelsAreSubtotals="1" fieldPosition="0"/>
    </format>
    <format dxfId="1116">
      <pivotArea collapsedLevelsAreSubtotals="1" fieldPosition="0">
        <references count="1">
          <reference field="1" count="0"/>
        </references>
      </pivotArea>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76DBC7-081E-4872-8A92-5347156C87B0}" name="PivotTable6" cacheId="1659" applyNumberFormats="0" applyBorderFormats="0" applyFontFormats="0" applyPatternFormats="0" applyAlignmentFormats="0" applyWidthHeightFormats="1" dataCaption="Values" tag="14c688c8-870e-4906-a74b-644873f1d1e0" updatedVersion="8" minRefreshableVersion="3" subtotalHiddenItems="1" itemPrintTitles="1" createdVersion="5" indent="0" outline="1" outlineData="1" multipleFieldFilters="0" chartFormat="29">
  <location ref="I6:J38"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64"/>
  </dataFields>
  <formats count="7">
    <format>
      <pivotArea field="0" type="button" dataOnly="0" labelOnly="1" outline="0" axis="axisRow" fieldPosition="0"/>
    </format>
    <format>
      <pivotArea dataOnly="0" labelOnly="1" fieldPosition="0">
        <references count="1">
          <reference field="0" count="0"/>
        </references>
      </pivotArea>
    </format>
    <format>
      <pivotArea dataOnly="0" labelOnly="1" grandRow="1" outline="0" fieldPosition="0"/>
    </format>
    <format dxfId="1122">
      <pivotArea collapsedLevelsAreSubtotals="1" fieldPosition="0">
        <references count="1">
          <reference field="0" count="1">
            <x v="31"/>
          </reference>
        </references>
      </pivotArea>
    </format>
    <format dxfId="1121">
      <pivotArea collapsedLevelsAreSubtotals="1" fieldPosition="0">
        <references count="1">
          <reference field="0" count="29">
            <x v="32"/>
            <x v="33"/>
            <x v="34"/>
            <x v="35"/>
            <x v="36"/>
            <x v="37"/>
            <x v="38"/>
            <x v="39"/>
            <x v="40"/>
            <x v="41"/>
            <x v="42"/>
            <x v="43"/>
            <x v="44"/>
            <x v="45"/>
            <x v="46"/>
            <x v="47"/>
            <x v="48"/>
            <x v="49"/>
            <x v="50"/>
            <x v="51"/>
            <x v="52"/>
            <x v="53"/>
            <x v="54"/>
            <x v="55"/>
            <x v="56"/>
            <x v="57"/>
            <x v="58"/>
            <x v="59"/>
            <x v="60"/>
          </reference>
        </references>
      </pivotArea>
    </format>
    <format dxfId="1120">
      <pivotArea collapsedLevelsAreSubtotals="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111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20F20C-455E-4B64-BEA8-F9A99B7E6512}" name="PivotTable4" cacheId="1653" applyNumberFormats="0" applyBorderFormats="0" applyFontFormats="0" applyPatternFormats="0" applyAlignmentFormats="0" applyWidthHeightFormats="1" dataCaption="Values" tag="14c688c8-870e-4906-a74b-644873f1d1e0" updatedVersion="8" minRefreshableVersion="3" subtotalHiddenItems="1" itemPrintTitles="1" createdVersion="5" indent="0" outline="1" outlineData="1" multipleFieldFilters="0" chartFormat="19">
  <location ref="D6:E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22841A-F19C-46B4-AA7D-7D600503F374}" name="PivotTable10" cacheId="1641" applyNumberFormats="0" applyBorderFormats="0" applyFontFormats="0" applyPatternFormats="0" applyAlignmentFormats="0" applyWidthHeightFormats="1" dataCaption="Values" tag="3bf8c69c-368b-4748-b0b7-39e85e77631b" updatedVersion="8" minRefreshableVersion="3" subtotalHiddenItems="1" itemPrintTitles="1" createdVersion="5" indent="0" outline="1" outlineData="1" multipleFieldFilters="0" chartFormat="16">
  <location ref="D52:E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es" fld="2" subtotal="count" baseField="0" baseItem="0"/>
  </dataFields>
  <formats count="3">
    <format dxfId="1125">
      <pivotArea outline="0" collapsedLevelsAreSubtotals="1" fieldPosition="0"/>
    </format>
    <format dxfId="1124">
      <pivotArea collapsedLevelsAreSubtotals="1" fieldPosition="0">
        <references count="1">
          <reference field="1" count="0"/>
        </references>
      </pivotArea>
    </format>
    <format dxfId="1123">
      <pivotArea grandRow="1" outline="0" collapsedLevelsAreSubtotals="1" fieldPosition="0"/>
    </format>
  </formats>
  <chartFormats count="4">
    <chartFormat chart="13" format="7"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BBD97C-3A46-4BEF-A576-C548D35A6EBA}" name="PivotTable3" cacheId="1650" applyNumberFormats="0" applyBorderFormats="0" applyFontFormats="0" applyPatternFormats="0" applyAlignmentFormats="0" applyWidthHeightFormats="1" dataCaption="Values" tag="a570e36f-73ff-4479-9888-cbf7d3d51e3e"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26">
      <pivotArea outline="0" collapsedLevelsAreSubtotals="1" fieldPosition="0"/>
    </format>
  </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0219D7-1184-4E52-B955-9A52FA92B657}" name="PivotTable9" cacheId="1668" applyNumberFormats="0" applyBorderFormats="0" applyFontFormats="0" applyPatternFormats="0" applyAlignmentFormats="0" applyWidthHeightFormats="1" dataCaption="Values" tag="3bf8c69c-368b-4748-b0b7-39e85e77631b" updatedVersion="8" minRefreshableVersion="3" subtotalHiddenItems="1" itemPrintTitles="1" createdVersion="5" indent="0" outline="1" outlineData="1" multipleFieldFilters="0" chartFormat="11">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127">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77195B6-F12C-40D7-9FFC-A564FE648CB5}" sourceName="[Calender_Table].[Date (Month)]">
  <pivotTables>
    <pivotTable tabId="1" name="PivotTable4"/>
    <pivotTable tabId="1" name="PivotTable1"/>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703306608">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4334BF9-F663-4518-A025-2CB112EE7916}" sourceName="[Calender_Table].[Date (Year)]">
  <pivotTables>
    <pivotTable tabId="1" name="PivotTable13"/>
    <pivotTable tabId="1" name="PivotTable1"/>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olap pivotCacheId="170330660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D015606-D431-4CFB-8987-067F33EF7046}" cache="Slicer_Date__Month" caption="Date (Month)" showCaption="0" level="1" style="My style 2" rowHeight="144000"/>
  <slicer name="Date (Year)" xr10:uid="{A65D6964-8407-44C5-8A9C-9BEB45FEFEA8}" cache="Slicer_Date__Year" caption="Date (Year)" columnCount="2" showCaption="0" level="1" style="My style 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37CA-28A3-4965-A6D9-564EF46F2BF0}">
  <dimension ref="A5:N76"/>
  <sheetViews>
    <sheetView zoomScale="74" zoomScaleNormal="74" workbookViewId="0">
      <selection activeCell="C8" sqref="C8"/>
    </sheetView>
  </sheetViews>
  <sheetFormatPr defaultRowHeight="14.5" x14ac:dyDescent="0.35"/>
  <cols>
    <col min="1" max="1" width="31.36328125" customWidth="1"/>
    <col min="2" max="2" width="14.7265625" customWidth="1"/>
    <col min="3" max="3" width="26.6328125" customWidth="1"/>
    <col min="4" max="4" width="32" customWidth="1"/>
    <col min="5" max="5" width="23.54296875" bestFit="1" customWidth="1"/>
    <col min="9" max="9" width="15.36328125" style="8" bestFit="1" customWidth="1"/>
    <col min="10" max="10" width="23.54296875" bestFit="1" customWidth="1"/>
    <col min="14" max="14" width="31.7265625" bestFit="1" customWidth="1"/>
  </cols>
  <sheetData>
    <row r="5" spans="1:14" x14ac:dyDescent="0.35">
      <c r="A5" t="s">
        <v>1</v>
      </c>
      <c r="D5" t="s">
        <v>7</v>
      </c>
      <c r="I5" s="8" t="s">
        <v>8</v>
      </c>
    </row>
    <row r="6" spans="1:14" x14ac:dyDescent="0.35">
      <c r="A6" t="s">
        <v>0</v>
      </c>
      <c r="D6" s="4" t="s">
        <v>6</v>
      </c>
      <c r="E6" t="s">
        <v>0</v>
      </c>
      <c r="I6" s="4" t="s">
        <v>6</v>
      </c>
      <c r="J6" t="s">
        <v>2</v>
      </c>
      <c r="M6" s="4" t="s">
        <v>6</v>
      </c>
      <c r="N6" t="s">
        <v>3</v>
      </c>
    </row>
    <row r="7" spans="1:14" x14ac:dyDescent="0.35">
      <c r="A7" s="1">
        <v>494</v>
      </c>
      <c r="D7" s="5" t="s">
        <v>45</v>
      </c>
      <c r="E7" s="1">
        <v>14</v>
      </c>
      <c r="I7" s="5" t="s">
        <v>45</v>
      </c>
      <c r="J7" s="9">
        <v>35.714285714285715</v>
      </c>
      <c r="M7" s="5" t="s">
        <v>45</v>
      </c>
      <c r="N7" s="2">
        <v>8</v>
      </c>
    </row>
    <row r="8" spans="1:14" x14ac:dyDescent="0.35">
      <c r="D8" s="5" t="s">
        <v>46</v>
      </c>
      <c r="E8" s="1">
        <v>15</v>
      </c>
      <c r="I8" s="5" t="s">
        <v>46</v>
      </c>
      <c r="J8" s="9">
        <v>38.533333333333331</v>
      </c>
      <c r="M8" s="5" t="s">
        <v>46</v>
      </c>
      <c r="N8" s="2">
        <v>4</v>
      </c>
    </row>
    <row r="9" spans="1:14" x14ac:dyDescent="0.35">
      <c r="D9" s="5" t="s">
        <v>47</v>
      </c>
      <c r="E9" s="1">
        <v>17</v>
      </c>
      <c r="I9" s="5" t="s">
        <v>47</v>
      </c>
      <c r="J9" s="9">
        <v>38.941176470588232</v>
      </c>
      <c r="M9" s="5" t="s">
        <v>47</v>
      </c>
      <c r="N9" s="2">
        <v>5.333333333333333</v>
      </c>
    </row>
    <row r="10" spans="1:14" x14ac:dyDescent="0.35">
      <c r="A10" t="s">
        <v>2</v>
      </c>
      <c r="D10" s="5" t="s">
        <v>48</v>
      </c>
      <c r="E10" s="1">
        <v>12</v>
      </c>
      <c r="I10" s="5" t="s">
        <v>48</v>
      </c>
      <c r="J10" s="9">
        <v>35.666666666666664</v>
      </c>
      <c r="M10" s="5" t="s">
        <v>48</v>
      </c>
      <c r="N10" s="2">
        <v>4.666666666666667</v>
      </c>
    </row>
    <row r="11" spans="1:14" x14ac:dyDescent="0.35">
      <c r="A11" s="2">
        <v>36.392712550607285</v>
      </c>
      <c r="D11" s="5" t="s">
        <v>49</v>
      </c>
      <c r="E11" s="1">
        <v>23</v>
      </c>
      <c r="I11" s="5" t="s">
        <v>49</v>
      </c>
      <c r="J11" s="9">
        <v>39.478260869565219</v>
      </c>
      <c r="M11" s="5" t="s">
        <v>49</v>
      </c>
      <c r="N11" s="2">
        <v>6.2</v>
      </c>
    </row>
    <row r="12" spans="1:14" x14ac:dyDescent="0.35">
      <c r="D12" s="5" t="s">
        <v>50</v>
      </c>
      <c r="E12" s="1">
        <v>10</v>
      </c>
      <c r="I12" s="5" t="s">
        <v>50</v>
      </c>
      <c r="J12" s="9">
        <v>25.1</v>
      </c>
      <c r="M12" s="5" t="s">
        <v>50</v>
      </c>
      <c r="N12" s="2">
        <v>6.333333333333333</v>
      </c>
    </row>
    <row r="13" spans="1:14" x14ac:dyDescent="0.35">
      <c r="D13" s="5" t="s">
        <v>51</v>
      </c>
      <c r="E13" s="1">
        <v>18</v>
      </c>
      <c r="I13" s="5" t="s">
        <v>51</v>
      </c>
      <c r="J13" s="9">
        <v>43.666666666666664</v>
      </c>
      <c r="M13" s="5" t="s">
        <v>51</v>
      </c>
      <c r="N13" s="2">
        <v>9.5</v>
      </c>
    </row>
    <row r="14" spans="1:14" x14ac:dyDescent="0.35">
      <c r="A14" t="s">
        <v>3</v>
      </c>
      <c r="D14" s="5" t="s">
        <v>52</v>
      </c>
      <c r="E14" s="1">
        <v>11</v>
      </c>
      <c r="I14" s="5" t="s">
        <v>52</v>
      </c>
      <c r="J14" s="9">
        <v>38.090909090909093</v>
      </c>
      <c r="M14" s="5" t="s">
        <v>52</v>
      </c>
      <c r="N14" s="2">
        <v>2</v>
      </c>
    </row>
    <row r="15" spans="1:14" x14ac:dyDescent="0.35">
      <c r="A15" s="2">
        <v>5.0629921259842519</v>
      </c>
      <c r="D15" s="5" t="s">
        <v>53</v>
      </c>
      <c r="E15" s="1">
        <v>12</v>
      </c>
      <c r="I15" s="5" t="s">
        <v>53</v>
      </c>
      <c r="J15" s="9">
        <v>28.25</v>
      </c>
      <c r="M15" s="5" t="s">
        <v>53</v>
      </c>
      <c r="N15" s="2">
        <v>6.666666666666667</v>
      </c>
    </row>
    <row r="16" spans="1:14" x14ac:dyDescent="0.35">
      <c r="D16" s="5" t="s">
        <v>54</v>
      </c>
      <c r="E16" s="1">
        <v>24</v>
      </c>
      <c r="I16" s="5" t="s">
        <v>54</v>
      </c>
      <c r="J16" s="9">
        <v>36.291666666666664</v>
      </c>
      <c r="M16" s="5" t="s">
        <v>54</v>
      </c>
      <c r="N16" s="2">
        <v>2.25</v>
      </c>
    </row>
    <row r="17" spans="4:14" x14ac:dyDescent="0.35">
      <c r="D17" s="5" t="s">
        <v>55</v>
      </c>
      <c r="E17" s="1">
        <v>16</v>
      </c>
      <c r="I17" s="5" t="s">
        <v>55</v>
      </c>
      <c r="J17" s="9">
        <v>31.875</v>
      </c>
      <c r="M17" s="5" t="s">
        <v>55</v>
      </c>
      <c r="N17" s="2">
        <v>3</v>
      </c>
    </row>
    <row r="18" spans="4:14" x14ac:dyDescent="0.35">
      <c r="D18" s="5" t="s">
        <v>56</v>
      </c>
      <c r="E18" s="1">
        <v>21</v>
      </c>
      <c r="I18" s="5" t="s">
        <v>56</v>
      </c>
      <c r="J18" s="9">
        <v>32.333333333333336</v>
      </c>
      <c r="M18" s="5" t="s">
        <v>56</v>
      </c>
      <c r="N18" s="2">
        <v>4.7142857142857144</v>
      </c>
    </row>
    <row r="19" spans="4:14" x14ac:dyDescent="0.35">
      <c r="D19" s="5" t="s">
        <v>57</v>
      </c>
      <c r="E19" s="1">
        <v>16</v>
      </c>
      <c r="I19" s="5" t="s">
        <v>57</v>
      </c>
      <c r="J19" s="9">
        <v>36.3125</v>
      </c>
      <c r="M19" s="5" t="s">
        <v>57</v>
      </c>
      <c r="N19" s="2">
        <v>10</v>
      </c>
    </row>
    <row r="20" spans="4:14" x14ac:dyDescent="0.35">
      <c r="D20" s="5" t="s">
        <v>58</v>
      </c>
      <c r="E20" s="1">
        <v>15</v>
      </c>
      <c r="I20" s="5" t="s">
        <v>58</v>
      </c>
      <c r="J20" s="9">
        <v>41.133333333333333</v>
      </c>
      <c r="M20" s="5" t="s">
        <v>58</v>
      </c>
      <c r="N20" s="2">
        <v>5.666666666666667</v>
      </c>
    </row>
    <row r="21" spans="4:14" x14ac:dyDescent="0.35">
      <c r="D21" s="5" t="s">
        <v>59</v>
      </c>
      <c r="E21" s="1">
        <v>14</v>
      </c>
      <c r="I21" s="5" t="s">
        <v>59</v>
      </c>
      <c r="J21" s="9">
        <v>32.071428571428569</v>
      </c>
      <c r="M21" s="5" t="s">
        <v>59</v>
      </c>
      <c r="N21" s="2">
        <v>5</v>
      </c>
    </row>
    <row r="22" spans="4:14" x14ac:dyDescent="0.35">
      <c r="D22" s="5" t="s">
        <v>60</v>
      </c>
      <c r="E22" s="1">
        <v>18</v>
      </c>
      <c r="I22" s="5" t="s">
        <v>60</v>
      </c>
      <c r="J22" s="9">
        <v>34.222222222222221</v>
      </c>
      <c r="M22" s="5" t="s">
        <v>60</v>
      </c>
      <c r="N22" s="2">
        <v>3</v>
      </c>
    </row>
    <row r="23" spans="4:14" x14ac:dyDescent="0.35">
      <c r="D23" s="5" t="s">
        <v>61</v>
      </c>
      <c r="E23" s="1">
        <v>12</v>
      </c>
      <c r="I23" s="5" t="s">
        <v>61</v>
      </c>
      <c r="J23" s="9">
        <v>43.666666666666664</v>
      </c>
      <c r="M23" s="5" t="s">
        <v>61</v>
      </c>
      <c r="N23" s="2">
        <v>5.333333333333333</v>
      </c>
    </row>
    <row r="24" spans="4:14" x14ac:dyDescent="0.35">
      <c r="D24" s="5" t="s">
        <v>62</v>
      </c>
      <c r="E24" s="1">
        <v>18</v>
      </c>
      <c r="I24" s="5" t="s">
        <v>62</v>
      </c>
      <c r="J24" s="9">
        <v>38.5</v>
      </c>
      <c r="M24" s="5" t="s">
        <v>62</v>
      </c>
      <c r="N24" s="2">
        <v>5.833333333333333</v>
      </c>
    </row>
    <row r="25" spans="4:14" x14ac:dyDescent="0.35">
      <c r="D25" s="5" t="s">
        <v>63</v>
      </c>
      <c r="E25" s="1">
        <v>16</v>
      </c>
      <c r="I25" s="5" t="s">
        <v>63</v>
      </c>
      <c r="J25" s="9">
        <v>32.6875</v>
      </c>
      <c r="M25" s="5" t="s">
        <v>63</v>
      </c>
      <c r="N25" s="2">
        <v>5.8</v>
      </c>
    </row>
    <row r="26" spans="4:14" x14ac:dyDescent="0.35">
      <c r="D26" s="5" t="s">
        <v>64</v>
      </c>
      <c r="E26" s="1">
        <v>22</v>
      </c>
      <c r="I26" s="5" t="s">
        <v>64</v>
      </c>
      <c r="J26" s="9">
        <v>41.045454545454547</v>
      </c>
      <c r="M26" s="5" t="s">
        <v>64</v>
      </c>
      <c r="N26" s="2">
        <v>5.2</v>
      </c>
    </row>
    <row r="27" spans="4:14" x14ac:dyDescent="0.35">
      <c r="D27" s="5" t="s">
        <v>65</v>
      </c>
      <c r="E27" s="1">
        <v>16</v>
      </c>
      <c r="I27" s="5" t="s">
        <v>65</v>
      </c>
      <c r="J27" s="9">
        <v>36.6875</v>
      </c>
      <c r="M27" s="5" t="s">
        <v>65</v>
      </c>
      <c r="N27" s="2">
        <v>4.5</v>
      </c>
    </row>
    <row r="28" spans="4:14" x14ac:dyDescent="0.35">
      <c r="D28" s="5" t="s">
        <v>66</v>
      </c>
      <c r="E28" s="1">
        <v>10</v>
      </c>
      <c r="I28" s="5" t="s">
        <v>66</v>
      </c>
      <c r="J28" s="9">
        <v>38.5</v>
      </c>
      <c r="M28" s="5" t="s">
        <v>66</v>
      </c>
      <c r="N28" s="2">
        <v>6</v>
      </c>
    </row>
    <row r="29" spans="4:14" x14ac:dyDescent="0.35">
      <c r="D29" s="5" t="s">
        <v>67</v>
      </c>
      <c r="E29" s="1">
        <v>18</v>
      </c>
      <c r="I29" s="5" t="s">
        <v>67</v>
      </c>
      <c r="J29" s="9">
        <v>33.777777777777779</v>
      </c>
      <c r="M29" s="5" t="s">
        <v>67</v>
      </c>
      <c r="N29" s="2">
        <v>6.5</v>
      </c>
    </row>
    <row r="30" spans="4:14" x14ac:dyDescent="0.35">
      <c r="D30" s="5" t="s">
        <v>68</v>
      </c>
      <c r="E30" s="1">
        <v>13</v>
      </c>
      <c r="I30" s="5" t="s">
        <v>68</v>
      </c>
      <c r="J30" s="9">
        <v>41.692307692307693</v>
      </c>
      <c r="M30" s="5" t="s">
        <v>68</v>
      </c>
      <c r="N30" s="2">
        <v>4.166666666666667</v>
      </c>
    </row>
    <row r="31" spans="4:14" x14ac:dyDescent="0.35">
      <c r="D31" s="5" t="s">
        <v>69</v>
      </c>
      <c r="E31" s="1">
        <v>20</v>
      </c>
      <c r="I31" s="5" t="s">
        <v>69</v>
      </c>
      <c r="J31" s="9">
        <v>31.7</v>
      </c>
      <c r="M31" s="5" t="s">
        <v>69</v>
      </c>
      <c r="N31" s="2">
        <v>3.6666666666666665</v>
      </c>
    </row>
    <row r="32" spans="4:14" x14ac:dyDescent="0.35">
      <c r="D32" s="5" t="s">
        <v>70</v>
      </c>
      <c r="E32" s="1">
        <v>17</v>
      </c>
      <c r="I32" s="5" t="s">
        <v>70</v>
      </c>
      <c r="J32" s="9">
        <v>36.470588235294116</v>
      </c>
      <c r="M32" s="5" t="s">
        <v>70</v>
      </c>
      <c r="N32" s="2">
        <v>3.5</v>
      </c>
    </row>
    <row r="33" spans="1:14" x14ac:dyDescent="0.35">
      <c r="D33" s="5" t="s">
        <v>71</v>
      </c>
      <c r="E33" s="1">
        <v>19</v>
      </c>
      <c r="I33" s="5" t="s">
        <v>71</v>
      </c>
      <c r="J33" s="9">
        <v>37.210526315789473</v>
      </c>
      <c r="M33" s="5" t="s">
        <v>71</v>
      </c>
      <c r="N33" s="2">
        <v>6</v>
      </c>
    </row>
    <row r="34" spans="1:14" x14ac:dyDescent="0.35">
      <c r="D34" s="5" t="s">
        <v>72</v>
      </c>
      <c r="E34" s="1">
        <v>17</v>
      </c>
      <c r="I34" s="5" t="s">
        <v>72</v>
      </c>
      <c r="J34" s="9">
        <v>36.294117647058826</v>
      </c>
      <c r="M34" s="5" t="s">
        <v>72</v>
      </c>
      <c r="N34" s="2">
        <v>5.1428571428571432</v>
      </c>
    </row>
    <row r="35" spans="1:14" x14ac:dyDescent="0.35">
      <c r="D35" s="5" t="s">
        <v>73</v>
      </c>
      <c r="E35" s="1">
        <v>22</v>
      </c>
      <c r="I35" s="5" t="s">
        <v>73</v>
      </c>
      <c r="J35" s="9">
        <v>32</v>
      </c>
      <c r="M35" s="5" t="s">
        <v>73</v>
      </c>
      <c r="N35" s="2">
        <v>4</v>
      </c>
    </row>
    <row r="36" spans="1:14" x14ac:dyDescent="0.35">
      <c r="D36" s="5" t="s">
        <v>74</v>
      </c>
      <c r="E36" s="1">
        <v>9</v>
      </c>
      <c r="I36" s="5" t="s">
        <v>74</v>
      </c>
      <c r="J36" s="9">
        <v>41.444444444444443</v>
      </c>
      <c r="M36" s="5" t="s">
        <v>74</v>
      </c>
      <c r="N36" s="2">
        <v>3.5</v>
      </c>
    </row>
    <row r="37" spans="1:14" x14ac:dyDescent="0.35">
      <c r="D37" s="5" t="s">
        <v>75</v>
      </c>
      <c r="E37" s="1">
        <v>9</v>
      </c>
      <c r="I37" s="5" t="s">
        <v>75</v>
      </c>
      <c r="J37" s="9">
        <v>40.444444444444443</v>
      </c>
      <c r="M37" s="5" t="s">
        <v>75</v>
      </c>
      <c r="N37" s="2">
        <v>5</v>
      </c>
    </row>
    <row r="38" spans="1:14" x14ac:dyDescent="0.35">
      <c r="D38" s="5" t="s">
        <v>4</v>
      </c>
      <c r="E38" s="1">
        <v>494</v>
      </c>
      <c r="I38" s="5" t="s">
        <v>4</v>
      </c>
      <c r="J38" s="9">
        <v>36.392712550607285</v>
      </c>
      <c r="M38" s="5" t="s">
        <v>4</v>
      </c>
      <c r="N38" s="2">
        <v>5.0629921259842519</v>
      </c>
    </row>
    <row r="39" spans="1:14" x14ac:dyDescent="0.35">
      <c r="M39" s="8"/>
    </row>
    <row r="40" spans="1:14" x14ac:dyDescent="0.35">
      <c r="M40" s="8"/>
    </row>
    <row r="41" spans="1:14" x14ac:dyDescent="0.35">
      <c r="A41" s="4" t="s">
        <v>6</v>
      </c>
      <c r="B41" t="s">
        <v>9</v>
      </c>
      <c r="C41" t="s">
        <v>12</v>
      </c>
      <c r="M41" s="8"/>
    </row>
    <row r="42" spans="1:14" x14ac:dyDescent="0.35">
      <c r="A42" s="5" t="s">
        <v>10</v>
      </c>
      <c r="B42" s="2">
        <v>234</v>
      </c>
      <c r="C42" s="11">
        <v>0.47368421052631576</v>
      </c>
      <c r="M42" s="8"/>
    </row>
    <row r="43" spans="1:14" x14ac:dyDescent="0.35">
      <c r="A43" s="5" t="s">
        <v>11</v>
      </c>
      <c r="B43" s="2">
        <v>260</v>
      </c>
      <c r="C43" s="11">
        <v>0.52631578947368418</v>
      </c>
    </row>
    <row r="44" spans="1:14" x14ac:dyDescent="0.35">
      <c r="A44" s="5" t="s">
        <v>4</v>
      </c>
      <c r="B44" s="2">
        <v>494</v>
      </c>
      <c r="C44" s="11">
        <v>1</v>
      </c>
    </row>
    <row r="47" spans="1:14" ht="16" x14ac:dyDescent="0.4">
      <c r="A47" s="12" t="s">
        <v>13</v>
      </c>
      <c r="B47" s="13" t="s">
        <v>15</v>
      </c>
      <c r="C47" s="13" t="s">
        <v>14</v>
      </c>
      <c r="D47" s="14"/>
    </row>
    <row r="48" spans="1:14" ht="16" x14ac:dyDescent="0.4">
      <c r="A48" s="15" t="str">
        <f>A43</f>
        <v>Not Admitted</v>
      </c>
      <c r="B48" s="15">
        <f>B43</f>
        <v>260</v>
      </c>
      <c r="C48" s="16">
        <f>C43</f>
        <v>0.52631578947368418</v>
      </c>
      <c r="D48" s="17"/>
    </row>
    <row r="49" spans="1:5" ht="16" x14ac:dyDescent="0.4">
      <c r="A49" s="15" t="str">
        <f>A42</f>
        <v>Admitted</v>
      </c>
      <c r="B49" s="18">
        <f>B42</f>
        <v>234</v>
      </c>
      <c r="C49" s="16">
        <f>C42</f>
        <v>0.47368421052631576</v>
      </c>
      <c r="D49" s="17"/>
    </row>
    <row r="51" spans="1:5" x14ac:dyDescent="0.35">
      <c r="A51" t="s">
        <v>25</v>
      </c>
      <c r="D51" t="s">
        <v>29</v>
      </c>
    </row>
    <row r="52" spans="1:5" x14ac:dyDescent="0.35">
      <c r="A52" s="4" t="s">
        <v>6</v>
      </c>
      <c r="B52" t="s">
        <v>16</v>
      </c>
      <c r="D52" s="4" t="s">
        <v>6</v>
      </c>
      <c r="E52" t="s">
        <v>28</v>
      </c>
    </row>
    <row r="53" spans="1:5" x14ac:dyDescent="0.35">
      <c r="A53" s="5" t="s">
        <v>17</v>
      </c>
      <c r="B53" s="19">
        <v>70</v>
      </c>
      <c r="D53" s="5" t="s">
        <v>27</v>
      </c>
      <c r="E53" s="19">
        <v>307</v>
      </c>
    </row>
    <row r="54" spans="1:5" x14ac:dyDescent="0.35">
      <c r="A54" s="5" t="s">
        <v>18</v>
      </c>
      <c r="B54" s="19">
        <v>73</v>
      </c>
      <c r="D54" s="5" t="s">
        <v>26</v>
      </c>
      <c r="E54" s="19">
        <v>187</v>
      </c>
    </row>
    <row r="55" spans="1:5" x14ac:dyDescent="0.35">
      <c r="A55" s="5" t="s">
        <v>19</v>
      </c>
      <c r="B55" s="19">
        <v>58</v>
      </c>
      <c r="D55" s="5" t="s">
        <v>4</v>
      </c>
      <c r="E55" s="19">
        <v>494</v>
      </c>
    </row>
    <row r="56" spans="1:5" x14ac:dyDescent="0.35">
      <c r="A56" s="5" t="s">
        <v>20</v>
      </c>
      <c r="B56" s="19">
        <v>73</v>
      </c>
    </row>
    <row r="57" spans="1:5" x14ac:dyDescent="0.35">
      <c r="A57" s="5" t="s">
        <v>21</v>
      </c>
      <c r="B57" s="19">
        <v>55</v>
      </c>
    </row>
    <row r="58" spans="1:5" x14ac:dyDescent="0.35">
      <c r="A58" s="5" t="s">
        <v>22</v>
      </c>
      <c r="B58" s="19">
        <v>51</v>
      </c>
    </row>
    <row r="59" spans="1:5" x14ac:dyDescent="0.35">
      <c r="A59" s="5" t="s">
        <v>23</v>
      </c>
      <c r="B59" s="19">
        <v>67</v>
      </c>
      <c r="D59" t="s">
        <v>43</v>
      </c>
    </row>
    <row r="60" spans="1:5" x14ac:dyDescent="0.35">
      <c r="A60" s="5" t="s">
        <v>24</v>
      </c>
      <c r="B60" s="19">
        <v>47</v>
      </c>
      <c r="D60" s="4" t="s">
        <v>6</v>
      </c>
      <c r="E60" t="s">
        <v>42</v>
      </c>
    </row>
    <row r="61" spans="1:5" x14ac:dyDescent="0.35">
      <c r="A61" s="5" t="s">
        <v>4</v>
      </c>
      <c r="B61" s="19">
        <v>494</v>
      </c>
      <c r="D61" s="5" t="s">
        <v>41</v>
      </c>
      <c r="E61" s="19">
        <v>6</v>
      </c>
    </row>
    <row r="62" spans="1:5" x14ac:dyDescent="0.35">
      <c r="D62" s="5" t="s">
        <v>37</v>
      </c>
      <c r="E62" s="19">
        <v>8</v>
      </c>
    </row>
    <row r="63" spans="1:5" x14ac:dyDescent="0.35">
      <c r="D63" s="5" t="s">
        <v>35</v>
      </c>
      <c r="E63" s="19">
        <v>8</v>
      </c>
    </row>
    <row r="64" spans="1:5" x14ac:dyDescent="0.35">
      <c r="A64" s="5" t="s">
        <v>33</v>
      </c>
      <c r="D64" s="5" t="s">
        <v>40</v>
      </c>
      <c r="E64" s="19">
        <v>11</v>
      </c>
    </row>
    <row r="65" spans="1:5" x14ac:dyDescent="0.35">
      <c r="A65" s="4" t="s">
        <v>6</v>
      </c>
      <c r="B65" t="s">
        <v>32</v>
      </c>
      <c r="D65" s="5" t="s">
        <v>34</v>
      </c>
      <c r="E65" s="19">
        <v>17</v>
      </c>
    </row>
    <row r="66" spans="1:5" x14ac:dyDescent="0.35">
      <c r="A66" s="5" t="s">
        <v>30</v>
      </c>
      <c r="B66" s="19">
        <v>241</v>
      </c>
      <c r="D66" s="5" t="s">
        <v>39</v>
      </c>
      <c r="E66" s="19">
        <v>49</v>
      </c>
    </row>
    <row r="67" spans="1:5" x14ac:dyDescent="0.35">
      <c r="A67" s="5" t="s">
        <v>31</v>
      </c>
      <c r="B67" s="19">
        <v>253</v>
      </c>
      <c r="D67" s="5" t="s">
        <v>36</v>
      </c>
      <c r="E67" s="19">
        <v>92</v>
      </c>
    </row>
    <row r="68" spans="1:5" x14ac:dyDescent="0.35">
      <c r="A68" s="5" t="s">
        <v>4</v>
      </c>
      <c r="B68" s="19">
        <v>494</v>
      </c>
      <c r="D68" s="5" t="s">
        <v>38</v>
      </c>
      <c r="E68" s="19">
        <v>303</v>
      </c>
    </row>
    <row r="69" spans="1:5" x14ac:dyDescent="0.35">
      <c r="D69" s="5" t="s">
        <v>4</v>
      </c>
      <c r="E69" s="19">
        <v>494</v>
      </c>
    </row>
    <row r="73" spans="1:5" x14ac:dyDescent="0.35">
      <c r="A73" t="s">
        <v>44</v>
      </c>
    </row>
    <row r="74" spans="1:5" x14ac:dyDescent="0.35">
      <c r="A74" s="4" t="s">
        <v>6</v>
      </c>
    </row>
    <row r="75" spans="1:5" x14ac:dyDescent="0.35">
      <c r="A75" s="5" t="s">
        <v>5</v>
      </c>
    </row>
    <row r="76" spans="1:5" x14ac:dyDescent="0.35">
      <c r="A76"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4CCB-3E38-4654-B293-E2706146F9C5}">
  <dimension ref="A1:M16"/>
  <sheetViews>
    <sheetView zoomScale="110" zoomScaleNormal="110" workbookViewId="0"/>
  </sheetViews>
  <sheetFormatPr defaultRowHeight="14.5" x14ac:dyDescent="0.35"/>
  <cols>
    <col min="12" max="12" width="5.90625" customWidth="1"/>
  </cols>
  <sheetData>
    <row r="1" spans="1:13" x14ac:dyDescent="0.35">
      <c r="A1" s="10"/>
      <c r="B1" s="3"/>
      <c r="C1" s="3"/>
      <c r="D1" s="3"/>
      <c r="E1" s="3"/>
      <c r="F1" s="3"/>
      <c r="G1" s="3"/>
      <c r="H1" s="3"/>
      <c r="I1" s="3"/>
      <c r="J1" s="3"/>
      <c r="K1" s="3"/>
      <c r="L1" s="3"/>
      <c r="M1" s="20"/>
    </row>
    <row r="2" spans="1:13" x14ac:dyDescent="0.35">
      <c r="A2" s="3"/>
      <c r="B2" s="3"/>
      <c r="C2" s="3"/>
      <c r="D2" s="3"/>
      <c r="E2" s="3"/>
      <c r="F2" s="3"/>
      <c r="G2" s="3"/>
      <c r="H2" s="3"/>
      <c r="I2" s="3"/>
      <c r="J2" s="3"/>
      <c r="K2" s="3"/>
      <c r="L2" s="3"/>
      <c r="M2" s="20"/>
    </row>
    <row r="3" spans="1:13" x14ac:dyDescent="0.35">
      <c r="A3" s="3"/>
      <c r="B3" s="3"/>
      <c r="C3" s="3"/>
      <c r="D3" s="3"/>
      <c r="E3" s="3"/>
      <c r="F3" s="3"/>
      <c r="G3" s="3"/>
      <c r="H3" s="3"/>
      <c r="I3" s="3"/>
      <c r="J3" s="3"/>
      <c r="K3" s="3"/>
      <c r="L3" s="3"/>
      <c r="M3" s="20"/>
    </row>
    <row r="4" spans="1:13" x14ac:dyDescent="0.35">
      <c r="A4" s="3"/>
      <c r="B4" s="3"/>
      <c r="C4" s="3"/>
      <c r="D4" s="3"/>
      <c r="E4" s="3"/>
      <c r="F4" s="3"/>
      <c r="G4" s="3"/>
      <c r="H4" s="3"/>
      <c r="I4" s="3"/>
      <c r="J4" s="3"/>
      <c r="K4" s="3"/>
      <c r="L4" s="3"/>
      <c r="M4" s="20"/>
    </row>
    <row r="5" spans="1:13" x14ac:dyDescent="0.35">
      <c r="A5" s="3"/>
      <c r="B5" s="3"/>
      <c r="C5" s="3"/>
      <c r="D5" s="3"/>
      <c r="E5" s="3"/>
      <c r="F5" s="3"/>
      <c r="G5" s="3"/>
      <c r="H5" s="3"/>
      <c r="I5" s="3"/>
      <c r="J5" s="3"/>
      <c r="K5" s="3"/>
      <c r="L5" s="3"/>
      <c r="M5" s="20"/>
    </row>
    <row r="6" spans="1:13" x14ac:dyDescent="0.35">
      <c r="A6" s="3"/>
      <c r="B6" s="3"/>
      <c r="C6" s="3"/>
      <c r="D6" s="3"/>
      <c r="E6" s="3"/>
      <c r="F6" s="3"/>
      <c r="G6" s="3"/>
      <c r="H6" s="3"/>
      <c r="I6" s="3"/>
      <c r="J6" s="3"/>
      <c r="K6" s="3"/>
      <c r="L6" s="3"/>
      <c r="M6" s="20"/>
    </row>
    <row r="7" spans="1:13" x14ac:dyDescent="0.35">
      <c r="A7" s="3"/>
      <c r="B7" s="3"/>
      <c r="C7" s="3"/>
      <c r="D7" s="3"/>
      <c r="E7" s="3"/>
      <c r="F7" s="3"/>
      <c r="G7" s="3"/>
      <c r="H7" s="3"/>
      <c r="I7" s="3"/>
      <c r="J7" s="3"/>
      <c r="K7" s="3"/>
      <c r="L7" s="3"/>
      <c r="M7" s="20"/>
    </row>
    <row r="8" spans="1:13" x14ac:dyDescent="0.35">
      <c r="A8" s="3"/>
      <c r="B8" s="3"/>
      <c r="C8" s="3"/>
      <c r="D8" s="3"/>
      <c r="E8" s="3"/>
      <c r="F8" s="3"/>
      <c r="G8" s="3"/>
      <c r="H8" s="3"/>
      <c r="I8" s="3"/>
      <c r="J8" s="3"/>
      <c r="K8" s="3"/>
      <c r="L8" s="3"/>
      <c r="M8" s="20"/>
    </row>
    <row r="9" spans="1:13" x14ac:dyDescent="0.35">
      <c r="A9" s="3"/>
      <c r="B9" s="3"/>
      <c r="C9" s="3"/>
      <c r="D9" s="3"/>
      <c r="E9" s="3"/>
      <c r="F9" s="3"/>
      <c r="G9" s="3"/>
      <c r="H9" s="3"/>
      <c r="I9" s="3"/>
      <c r="J9" s="3"/>
      <c r="K9" s="3"/>
      <c r="L9" s="3"/>
      <c r="M9" s="20"/>
    </row>
    <row r="10" spans="1:13" x14ac:dyDescent="0.35">
      <c r="A10" s="3"/>
      <c r="B10" s="3"/>
      <c r="C10" s="3"/>
      <c r="D10" s="3"/>
      <c r="E10" s="3"/>
      <c r="F10" s="3"/>
      <c r="G10" s="3"/>
      <c r="H10" s="3"/>
      <c r="I10" s="3"/>
      <c r="J10" s="3"/>
      <c r="K10" s="3"/>
      <c r="L10" s="3"/>
      <c r="M10" s="20"/>
    </row>
    <row r="11" spans="1:13" x14ac:dyDescent="0.35">
      <c r="A11" s="3"/>
      <c r="B11" s="3"/>
      <c r="C11" s="3"/>
      <c r="D11" s="3"/>
      <c r="E11" s="3"/>
      <c r="F11" s="3"/>
      <c r="G11" s="3"/>
      <c r="H11" s="3"/>
      <c r="I11" s="3"/>
      <c r="J11" s="3"/>
      <c r="K11" s="3"/>
      <c r="L11" s="3"/>
      <c r="M11" s="20"/>
    </row>
    <row r="12" spans="1:13" x14ac:dyDescent="0.35">
      <c r="A12" s="3"/>
      <c r="B12" s="3"/>
      <c r="C12" s="3"/>
      <c r="D12" s="3"/>
      <c r="E12" s="3"/>
      <c r="F12" s="3"/>
      <c r="G12" s="3"/>
      <c r="H12" s="3"/>
      <c r="I12" s="3"/>
      <c r="J12" s="3"/>
      <c r="K12" s="3"/>
      <c r="L12" s="3"/>
      <c r="M12" s="20"/>
    </row>
    <row r="13" spans="1:13" x14ac:dyDescent="0.35">
      <c r="A13" s="3"/>
      <c r="B13" s="3"/>
      <c r="C13" s="3"/>
      <c r="D13" s="3"/>
      <c r="E13" s="3"/>
      <c r="F13" s="3"/>
      <c r="G13" s="3"/>
      <c r="H13" s="3"/>
      <c r="I13" s="3"/>
      <c r="J13" s="3"/>
      <c r="K13" s="3"/>
      <c r="L13" s="3"/>
      <c r="M13" s="20"/>
    </row>
    <row r="14" spans="1:13" x14ac:dyDescent="0.35">
      <c r="A14" s="3"/>
      <c r="B14" s="3"/>
      <c r="C14" s="3"/>
      <c r="D14" s="3"/>
      <c r="E14" s="3"/>
      <c r="F14" s="3"/>
      <c r="G14" s="3"/>
      <c r="H14" s="3"/>
      <c r="I14" s="3"/>
      <c r="J14" s="3"/>
      <c r="K14" s="3"/>
      <c r="L14" s="3"/>
      <c r="M14" s="20"/>
    </row>
    <row r="15" spans="1:13" x14ac:dyDescent="0.35">
      <c r="A15" s="3"/>
      <c r="B15" s="3"/>
      <c r="C15" s="3"/>
      <c r="D15" s="3"/>
      <c r="E15" s="3"/>
      <c r="F15" s="3"/>
      <c r="G15" s="3"/>
      <c r="H15" s="3"/>
      <c r="I15" s="3"/>
      <c r="J15" s="3"/>
      <c r="K15" s="3"/>
      <c r="L15" s="3"/>
      <c r="M15" s="20"/>
    </row>
    <row r="16" spans="1:13" x14ac:dyDescent="0.35">
      <c r="A16" s="3"/>
      <c r="B16" s="3"/>
      <c r="C16" s="3"/>
      <c r="D16" s="3"/>
      <c r="E16" s="3"/>
      <c r="F16" s="3"/>
      <c r="G16" s="3"/>
      <c r="H16" s="3"/>
      <c r="I16" s="3"/>
      <c r="J16" s="3"/>
      <c r="K16" s="3"/>
      <c r="L16" s="3"/>
      <c r="M16" s="20"/>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07AD-A103-4031-9D39-1FCB7AB72CEB}">
  <dimension ref="A1:N20"/>
  <sheetViews>
    <sheetView workbookViewId="0"/>
  </sheetViews>
  <sheetFormatPr defaultRowHeight="14.5" x14ac:dyDescent="0.35"/>
  <sheetData>
    <row r="1" spans="1:14" x14ac:dyDescent="0.35">
      <c r="A1" s="6"/>
      <c r="B1" s="6"/>
      <c r="C1" s="6"/>
      <c r="D1" s="6"/>
      <c r="E1" s="6"/>
      <c r="F1" s="6"/>
      <c r="G1" s="6"/>
      <c r="H1" s="6"/>
      <c r="I1" s="6"/>
      <c r="J1" s="6"/>
      <c r="K1" s="6"/>
      <c r="L1" s="6"/>
      <c r="M1" s="6"/>
      <c r="N1" s="20"/>
    </row>
    <row r="2" spans="1:14" x14ac:dyDescent="0.35">
      <c r="A2" s="6"/>
      <c r="B2" s="6"/>
      <c r="C2" s="6"/>
      <c r="D2" s="6"/>
      <c r="E2" s="6"/>
      <c r="F2" s="6"/>
      <c r="G2" s="6"/>
      <c r="H2" s="6"/>
      <c r="I2" s="6"/>
      <c r="J2" s="6"/>
      <c r="K2" s="6"/>
      <c r="L2" s="6"/>
      <c r="M2" s="6"/>
      <c r="N2" s="20"/>
    </row>
    <row r="3" spans="1:14" x14ac:dyDescent="0.35">
      <c r="A3" s="6"/>
      <c r="B3" s="6"/>
      <c r="C3" s="6"/>
      <c r="D3" s="6"/>
      <c r="E3" s="6"/>
      <c r="F3" s="6"/>
      <c r="G3" s="6"/>
      <c r="H3" s="6"/>
      <c r="I3" s="6"/>
      <c r="J3" s="6"/>
      <c r="K3" s="6"/>
      <c r="L3" s="6"/>
      <c r="M3" s="6"/>
      <c r="N3" s="20"/>
    </row>
    <row r="4" spans="1:14" x14ac:dyDescent="0.35">
      <c r="A4" s="6"/>
      <c r="B4" s="6"/>
      <c r="C4" s="6"/>
      <c r="D4" s="6"/>
      <c r="E4" s="6"/>
      <c r="F4" s="6"/>
      <c r="G4" s="6"/>
      <c r="H4" s="6"/>
      <c r="I4" s="6"/>
      <c r="J4" s="6"/>
      <c r="K4" s="6"/>
      <c r="L4" s="6"/>
      <c r="M4" s="6"/>
      <c r="N4" s="20"/>
    </row>
    <row r="5" spans="1:14" x14ac:dyDescent="0.35">
      <c r="A5" s="6"/>
      <c r="B5" s="6"/>
      <c r="C5" s="6"/>
      <c r="D5" s="6"/>
      <c r="E5" s="6"/>
      <c r="F5" s="6"/>
      <c r="G5" s="6"/>
      <c r="H5" s="6"/>
      <c r="I5" s="6"/>
      <c r="J5" s="6"/>
      <c r="K5" s="6"/>
      <c r="L5" s="6"/>
      <c r="M5" s="6"/>
      <c r="N5" s="20"/>
    </row>
    <row r="6" spans="1:14" x14ac:dyDescent="0.35">
      <c r="A6" s="6"/>
      <c r="B6" s="6"/>
      <c r="C6" s="6"/>
      <c r="D6" s="6"/>
      <c r="E6" s="6"/>
      <c r="F6" s="6"/>
      <c r="G6" s="6"/>
      <c r="H6" s="6"/>
      <c r="I6" s="6"/>
      <c r="J6" s="6"/>
      <c r="K6" s="6"/>
      <c r="L6" s="6"/>
      <c r="M6" s="6"/>
      <c r="N6" s="20"/>
    </row>
    <row r="7" spans="1:14" x14ac:dyDescent="0.35">
      <c r="A7" s="6"/>
      <c r="B7" s="6"/>
      <c r="C7" s="6"/>
      <c r="D7" s="6"/>
      <c r="E7" s="6"/>
      <c r="F7" s="6"/>
      <c r="G7" s="6"/>
      <c r="H7" s="6"/>
      <c r="I7" s="6"/>
      <c r="J7" s="6"/>
      <c r="K7" s="6"/>
      <c r="L7" s="6"/>
      <c r="M7" s="6"/>
      <c r="N7" s="20"/>
    </row>
    <row r="8" spans="1:14" x14ac:dyDescent="0.35">
      <c r="A8" s="6"/>
      <c r="B8" s="6"/>
      <c r="C8" s="6"/>
      <c r="D8" s="6"/>
      <c r="E8" s="6"/>
      <c r="F8" s="6"/>
      <c r="G8" s="6"/>
      <c r="H8" s="6"/>
      <c r="I8" s="6"/>
      <c r="J8" s="6"/>
      <c r="K8" s="6"/>
      <c r="L8" s="6"/>
      <c r="M8" s="6"/>
      <c r="N8" s="20"/>
    </row>
    <row r="9" spans="1:14" x14ac:dyDescent="0.35">
      <c r="A9" s="6"/>
      <c r="B9" s="6"/>
      <c r="C9" s="6"/>
      <c r="D9" s="6"/>
      <c r="E9" s="6"/>
      <c r="F9" s="6"/>
      <c r="G9" s="6"/>
      <c r="H9" s="6"/>
      <c r="I9" s="6"/>
      <c r="J9" s="6"/>
      <c r="K9" s="6"/>
      <c r="L9" s="6"/>
      <c r="M9" s="6"/>
      <c r="N9" s="20"/>
    </row>
    <row r="10" spans="1:14" x14ac:dyDescent="0.35">
      <c r="A10" s="6"/>
      <c r="B10" s="6"/>
      <c r="C10" s="6"/>
      <c r="D10" s="6"/>
      <c r="E10" s="6"/>
      <c r="F10" s="6"/>
      <c r="G10" s="6"/>
      <c r="H10" s="6"/>
      <c r="I10" s="6"/>
      <c r="J10" s="6"/>
      <c r="K10" s="6"/>
      <c r="L10" s="6"/>
      <c r="M10" s="6"/>
      <c r="N10" s="20"/>
    </row>
    <row r="11" spans="1:14" x14ac:dyDescent="0.35">
      <c r="A11" s="6"/>
      <c r="B11" s="6"/>
      <c r="C11" s="6"/>
      <c r="D11" s="6"/>
      <c r="E11" s="6"/>
      <c r="F11" s="6"/>
      <c r="G11" s="6"/>
      <c r="H11" s="6"/>
      <c r="I11" s="6"/>
      <c r="J11" s="6"/>
      <c r="K11" s="6"/>
      <c r="L11" s="6"/>
      <c r="M11" s="6"/>
      <c r="N11" s="20"/>
    </row>
    <row r="12" spans="1:14" x14ac:dyDescent="0.35">
      <c r="A12" s="6"/>
      <c r="B12" s="6"/>
      <c r="C12" s="6"/>
      <c r="D12" s="6"/>
      <c r="E12" s="6"/>
      <c r="F12" s="6"/>
      <c r="G12" s="6"/>
      <c r="H12" s="6"/>
      <c r="I12" s="6"/>
      <c r="J12" s="6"/>
      <c r="K12" s="6"/>
      <c r="L12" s="6"/>
      <c r="M12" s="6"/>
      <c r="N12" s="20"/>
    </row>
    <row r="13" spans="1:14" x14ac:dyDescent="0.35">
      <c r="A13" s="6"/>
      <c r="B13" s="6"/>
      <c r="C13" s="6"/>
      <c r="D13" s="6"/>
      <c r="E13" s="6"/>
      <c r="F13" s="6"/>
      <c r="G13" s="6"/>
      <c r="H13" s="6"/>
      <c r="I13" s="6"/>
      <c r="J13" s="6"/>
      <c r="K13" s="6"/>
      <c r="L13" s="6"/>
      <c r="M13" s="6"/>
      <c r="N13" s="20"/>
    </row>
    <row r="14" spans="1:14" x14ac:dyDescent="0.35">
      <c r="A14" s="6"/>
      <c r="B14" s="6"/>
      <c r="C14" s="6"/>
      <c r="D14" s="6"/>
      <c r="E14" s="6"/>
      <c r="F14" s="6"/>
      <c r="G14" s="6"/>
      <c r="H14" s="6"/>
      <c r="I14" s="6"/>
      <c r="J14" s="6"/>
      <c r="K14" s="6"/>
      <c r="L14" s="6"/>
      <c r="M14" s="6"/>
      <c r="N14" s="20"/>
    </row>
    <row r="15" spans="1:14" x14ac:dyDescent="0.35">
      <c r="A15" s="6"/>
      <c r="B15" s="6"/>
      <c r="C15" s="6"/>
      <c r="D15" s="6"/>
      <c r="E15" s="6"/>
      <c r="F15" s="6"/>
      <c r="G15" s="6"/>
      <c r="H15" s="7"/>
      <c r="I15" s="6"/>
      <c r="J15" s="6"/>
      <c r="K15" s="6"/>
      <c r="L15" s="6"/>
      <c r="M15" s="6"/>
      <c r="N15" s="20"/>
    </row>
    <row r="16" spans="1:14" x14ac:dyDescent="0.35">
      <c r="A16" s="6"/>
      <c r="B16" s="6"/>
      <c r="C16" s="6"/>
      <c r="D16" s="6"/>
      <c r="E16" s="6"/>
      <c r="F16" s="6"/>
      <c r="G16" s="6"/>
      <c r="H16" s="6"/>
      <c r="I16" s="6"/>
      <c r="J16" s="6"/>
      <c r="K16" s="6"/>
      <c r="L16" s="6"/>
      <c r="M16" s="6"/>
      <c r="N16" s="20"/>
    </row>
    <row r="17" spans="1:14" x14ac:dyDescent="0.35">
      <c r="A17" s="6"/>
      <c r="B17" s="6"/>
      <c r="C17" s="6"/>
      <c r="D17" s="6"/>
      <c r="E17" s="6"/>
      <c r="F17" s="6"/>
      <c r="G17" s="6"/>
      <c r="H17" s="6"/>
      <c r="I17" s="6"/>
      <c r="J17" s="6"/>
      <c r="K17" s="6"/>
      <c r="L17" s="6"/>
      <c r="M17" s="6"/>
      <c r="N17" s="20"/>
    </row>
    <row r="18" spans="1:14" x14ac:dyDescent="0.35">
      <c r="A18" s="6"/>
      <c r="B18" s="6"/>
      <c r="C18" s="6"/>
      <c r="D18" s="6"/>
      <c r="E18" s="6"/>
      <c r="F18" s="6"/>
      <c r="G18" s="6"/>
      <c r="H18" s="6"/>
      <c r="I18" s="6"/>
      <c r="J18" s="6"/>
      <c r="K18" s="6"/>
      <c r="L18" s="6"/>
      <c r="M18" s="6"/>
      <c r="N18" s="20"/>
    </row>
    <row r="19" spans="1:14" x14ac:dyDescent="0.35">
      <c r="A19" s="6"/>
      <c r="B19" s="6"/>
      <c r="C19" s="6"/>
      <c r="D19" s="6"/>
      <c r="E19" s="6"/>
      <c r="F19" s="6"/>
      <c r="G19" s="6"/>
      <c r="H19" s="6"/>
      <c r="I19" s="6"/>
      <c r="J19" s="6"/>
      <c r="K19" s="6"/>
      <c r="L19" s="6"/>
      <c r="M19" s="6"/>
      <c r="N19" s="20"/>
    </row>
    <row r="20" spans="1:14" x14ac:dyDescent="0.35">
      <c r="A20" s="6"/>
      <c r="B20" s="6"/>
      <c r="C20" s="6"/>
      <c r="D20" s="6"/>
      <c r="E20" s="6"/>
      <c r="F20" s="6"/>
      <c r="G20" s="6"/>
      <c r="H20" s="6"/>
      <c r="I20" s="6"/>
      <c r="J20" s="6"/>
      <c r="K20" s="6"/>
      <c r="L20" s="6"/>
      <c r="M20" s="6"/>
      <c r="N20" s="2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05338-AA56-4F9B-AAC7-A1CD7518C5B3}">
  <dimension ref="A1:M20"/>
  <sheetViews>
    <sheetView workbookViewId="0"/>
  </sheetViews>
  <sheetFormatPr defaultRowHeight="14.5" x14ac:dyDescent="0.35"/>
  <sheetData>
    <row r="1" spans="1:13" x14ac:dyDescent="0.35">
      <c r="A1" s="6"/>
      <c r="B1" s="6"/>
      <c r="C1" s="6"/>
      <c r="D1" s="6"/>
      <c r="E1" s="6"/>
      <c r="F1" s="6"/>
      <c r="G1" s="6"/>
      <c r="H1" s="6"/>
      <c r="I1" s="6"/>
      <c r="J1" s="6"/>
      <c r="K1" s="6"/>
      <c r="L1" s="6"/>
      <c r="M1" s="6"/>
    </row>
    <row r="2" spans="1:13" x14ac:dyDescent="0.35">
      <c r="A2" s="6"/>
      <c r="B2" s="6"/>
      <c r="C2" s="6"/>
      <c r="D2" s="6"/>
      <c r="E2" s="6"/>
      <c r="F2" s="6"/>
      <c r="G2" s="6"/>
      <c r="H2" s="6"/>
      <c r="I2" s="6"/>
      <c r="J2" s="6"/>
      <c r="K2" s="6"/>
      <c r="L2" s="6"/>
      <c r="M2" s="6"/>
    </row>
    <row r="3" spans="1:13" x14ac:dyDescent="0.35">
      <c r="A3" s="6"/>
      <c r="B3" s="6"/>
      <c r="C3" s="6"/>
      <c r="D3" s="6"/>
      <c r="E3" s="6"/>
      <c r="F3" s="6"/>
      <c r="G3" s="6"/>
      <c r="H3" s="6"/>
      <c r="I3" s="6"/>
      <c r="J3" s="6"/>
      <c r="K3" s="6"/>
      <c r="L3" s="6"/>
      <c r="M3" s="6"/>
    </row>
    <row r="4" spans="1:13" x14ac:dyDescent="0.35">
      <c r="A4" s="6"/>
      <c r="B4" s="6"/>
      <c r="C4" s="6"/>
      <c r="D4" s="6"/>
      <c r="E4" s="6"/>
      <c r="F4" s="6"/>
      <c r="G4" s="6"/>
      <c r="H4" s="6"/>
      <c r="I4" s="6"/>
      <c r="J4" s="6"/>
      <c r="K4" s="6"/>
      <c r="L4" s="6"/>
      <c r="M4" s="6"/>
    </row>
    <row r="5" spans="1:13" x14ac:dyDescent="0.35">
      <c r="A5" s="6"/>
      <c r="B5" s="6"/>
      <c r="C5" s="6"/>
      <c r="D5" s="6"/>
      <c r="E5" s="6"/>
      <c r="F5" s="6"/>
      <c r="G5" s="6"/>
      <c r="H5" s="6"/>
      <c r="I5" s="6"/>
      <c r="J5" s="6"/>
      <c r="K5" s="6"/>
      <c r="L5" s="6"/>
      <c r="M5" s="6"/>
    </row>
    <row r="6" spans="1:13" x14ac:dyDescent="0.35">
      <c r="A6" s="6"/>
      <c r="B6" s="6"/>
      <c r="C6" s="6"/>
      <c r="D6" s="6"/>
      <c r="E6" s="6"/>
      <c r="F6" s="6"/>
      <c r="G6" s="6"/>
      <c r="H6" s="6"/>
      <c r="I6" s="6"/>
      <c r="J6" s="6"/>
      <c r="K6" s="6"/>
      <c r="L6" s="6"/>
      <c r="M6" s="6"/>
    </row>
    <row r="7" spans="1:13" x14ac:dyDescent="0.35">
      <c r="A7" s="6"/>
      <c r="B7" s="6"/>
      <c r="C7" s="6"/>
      <c r="D7" s="6"/>
      <c r="E7" s="6"/>
      <c r="F7" s="6"/>
      <c r="G7" s="6"/>
      <c r="H7" s="6"/>
      <c r="I7" s="6"/>
      <c r="J7" s="6"/>
      <c r="K7" s="6"/>
      <c r="L7" s="6"/>
      <c r="M7" s="6"/>
    </row>
    <row r="8" spans="1:13" x14ac:dyDescent="0.35">
      <c r="A8" s="6"/>
      <c r="B8" s="6"/>
      <c r="C8" s="6"/>
      <c r="D8" s="6"/>
      <c r="E8" s="6"/>
      <c r="F8" s="6"/>
      <c r="G8" s="6"/>
      <c r="H8" s="6"/>
      <c r="I8" s="6"/>
      <c r="J8" s="6"/>
      <c r="K8" s="6"/>
      <c r="L8" s="6"/>
      <c r="M8" s="6"/>
    </row>
    <row r="9" spans="1:13" x14ac:dyDescent="0.35">
      <c r="A9" s="6"/>
      <c r="B9" s="6"/>
      <c r="C9" s="6"/>
      <c r="D9" s="6"/>
      <c r="E9" s="6"/>
      <c r="F9" s="6"/>
      <c r="G9" s="6"/>
      <c r="H9" s="6"/>
      <c r="I9" s="6"/>
      <c r="J9" s="6"/>
      <c r="K9" s="6"/>
      <c r="L9" s="6"/>
      <c r="M9" s="6"/>
    </row>
    <row r="10" spans="1:13" x14ac:dyDescent="0.35">
      <c r="A10" s="6"/>
      <c r="B10" s="6"/>
      <c r="C10" s="6"/>
      <c r="D10" s="6"/>
      <c r="E10" s="6"/>
      <c r="F10" s="6"/>
      <c r="G10" s="6"/>
      <c r="H10" s="6"/>
      <c r="I10" s="6"/>
      <c r="J10" s="6"/>
      <c r="K10" s="6"/>
      <c r="L10" s="6"/>
      <c r="M10" s="6"/>
    </row>
    <row r="11" spans="1:13" x14ac:dyDescent="0.35">
      <c r="A11" s="6"/>
      <c r="B11" s="6"/>
      <c r="C11" s="6"/>
      <c r="D11" s="6"/>
      <c r="E11" s="6"/>
      <c r="F11" s="6"/>
      <c r="G11" s="6"/>
      <c r="H11" s="6"/>
      <c r="I11" s="6"/>
      <c r="J11" s="6"/>
      <c r="K11" s="6"/>
      <c r="L11" s="6"/>
      <c r="M11" s="6"/>
    </row>
    <row r="12" spans="1:13" x14ac:dyDescent="0.35">
      <c r="A12" s="6"/>
      <c r="B12" s="6"/>
      <c r="C12" s="6"/>
      <c r="D12" s="6"/>
      <c r="E12" s="6"/>
      <c r="F12" s="6"/>
      <c r="G12" s="6"/>
      <c r="H12" s="6"/>
      <c r="I12" s="6"/>
      <c r="J12" s="6"/>
      <c r="K12" s="6"/>
      <c r="L12" s="6"/>
      <c r="M12" s="6"/>
    </row>
    <row r="13" spans="1:13" x14ac:dyDescent="0.35">
      <c r="A13" s="6"/>
      <c r="B13" s="6"/>
      <c r="C13" s="6"/>
      <c r="D13" s="6"/>
      <c r="E13" s="6"/>
      <c r="F13" s="6"/>
      <c r="G13" s="6"/>
      <c r="H13" s="6"/>
      <c r="I13" s="6"/>
      <c r="J13" s="6"/>
      <c r="K13" s="6"/>
      <c r="L13" s="6"/>
      <c r="M13" s="6"/>
    </row>
    <row r="14" spans="1:13" x14ac:dyDescent="0.35">
      <c r="A14" s="6"/>
      <c r="B14" s="6"/>
      <c r="C14" s="6"/>
      <c r="D14" s="6"/>
      <c r="E14" s="6"/>
      <c r="F14" s="6"/>
      <c r="G14" s="6"/>
      <c r="H14" s="6"/>
      <c r="I14" s="6"/>
      <c r="J14" s="6"/>
      <c r="K14" s="6"/>
      <c r="L14" s="6"/>
      <c r="M14" s="6"/>
    </row>
    <row r="15" spans="1:13" x14ac:dyDescent="0.35">
      <c r="A15" s="6"/>
      <c r="B15" s="6"/>
      <c r="C15" s="6"/>
      <c r="D15" s="6"/>
      <c r="E15" s="6"/>
      <c r="F15" s="6"/>
      <c r="G15" s="6"/>
      <c r="H15" s="6"/>
      <c r="I15" s="6"/>
      <c r="J15" s="6"/>
      <c r="K15" s="6"/>
      <c r="L15" s="6"/>
      <c r="M15" s="6"/>
    </row>
    <row r="16" spans="1:13" x14ac:dyDescent="0.35">
      <c r="A16" s="6"/>
      <c r="B16" s="6"/>
      <c r="C16" s="6"/>
      <c r="D16" s="6"/>
      <c r="E16" s="6"/>
      <c r="F16" s="6"/>
      <c r="G16" s="6"/>
      <c r="H16" s="6"/>
      <c r="I16" s="6"/>
      <c r="J16" s="6"/>
      <c r="K16" s="6"/>
      <c r="L16" s="6"/>
      <c r="M16" s="6"/>
    </row>
    <row r="17" spans="1:13" x14ac:dyDescent="0.35">
      <c r="A17" s="6"/>
      <c r="B17" s="6"/>
      <c r="C17" s="6"/>
      <c r="D17" s="6"/>
      <c r="E17" s="6"/>
      <c r="F17" s="6"/>
      <c r="G17" s="6"/>
      <c r="H17" s="6"/>
      <c r="I17" s="6"/>
      <c r="J17" s="6"/>
      <c r="K17" s="6"/>
      <c r="L17" s="6"/>
      <c r="M17" s="6"/>
    </row>
    <row r="18" spans="1:13" x14ac:dyDescent="0.35">
      <c r="A18" s="6"/>
      <c r="B18" s="6"/>
      <c r="C18" s="6"/>
      <c r="D18" s="6"/>
      <c r="E18" s="6"/>
      <c r="F18" s="6"/>
      <c r="G18" s="6"/>
      <c r="H18" s="6"/>
      <c r="I18" s="6"/>
      <c r="J18" s="6"/>
      <c r="K18" s="6"/>
      <c r="L18" s="6"/>
      <c r="M18" s="6"/>
    </row>
    <row r="19" spans="1:13" x14ac:dyDescent="0.35">
      <c r="A19" s="6"/>
      <c r="B19" s="6"/>
      <c r="C19" s="6"/>
      <c r="D19" s="6"/>
      <c r="E19" s="6"/>
      <c r="F19" s="6"/>
      <c r="G19" s="6"/>
      <c r="H19" s="6"/>
      <c r="I19" s="6"/>
      <c r="J19" s="6"/>
      <c r="K19" s="6"/>
      <c r="L19" s="6"/>
      <c r="M19" s="6"/>
    </row>
    <row r="20" spans="1:13" x14ac:dyDescent="0.35">
      <c r="A20" s="6"/>
      <c r="B20" s="6"/>
      <c r="C20" s="6"/>
      <c r="D20" s="6"/>
      <c r="E20" s="6"/>
      <c r="F20" s="6"/>
      <c r="G20" s="6"/>
      <c r="H20" s="6"/>
      <c r="I20" s="6"/>
      <c r="J20" s="6"/>
      <c r="K20" s="6"/>
      <c r="L20" s="6"/>
      <c r="M20"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25C6-5395-412E-897F-C81E10E01678}">
  <dimension ref="A1:M20"/>
  <sheetViews>
    <sheetView tabSelected="1" workbookViewId="0"/>
  </sheetViews>
  <sheetFormatPr defaultRowHeight="14.5" x14ac:dyDescent="0.35"/>
  <cols>
    <col min="12" max="12" width="9.6328125" customWidth="1"/>
  </cols>
  <sheetData>
    <row r="1" spans="1:13" x14ac:dyDescent="0.35">
      <c r="A1" s="6"/>
      <c r="B1" s="6"/>
      <c r="C1" s="6"/>
      <c r="D1" s="6"/>
      <c r="E1" s="6"/>
      <c r="F1" s="6"/>
      <c r="G1" s="6"/>
      <c r="H1" s="6"/>
      <c r="I1" s="6"/>
      <c r="J1" s="6"/>
      <c r="K1" s="6"/>
      <c r="L1" s="6"/>
      <c r="M1" s="6"/>
    </row>
    <row r="2" spans="1:13" x14ac:dyDescent="0.35">
      <c r="A2" s="6"/>
      <c r="B2" s="6"/>
      <c r="C2" s="6"/>
      <c r="D2" s="6"/>
      <c r="E2" s="6"/>
      <c r="F2" s="6"/>
      <c r="G2" s="6"/>
      <c r="H2" s="6"/>
      <c r="I2" s="6"/>
      <c r="J2" s="6"/>
      <c r="K2" s="6"/>
      <c r="L2" s="6"/>
      <c r="M2" s="6"/>
    </row>
    <row r="3" spans="1:13" x14ac:dyDescent="0.35">
      <c r="A3" s="6"/>
      <c r="B3" s="6"/>
      <c r="C3" s="6"/>
      <c r="D3" s="6"/>
      <c r="E3" s="6"/>
      <c r="F3" s="6"/>
      <c r="G3" s="6"/>
      <c r="H3" s="6"/>
      <c r="I3" s="6"/>
      <c r="J3" s="6"/>
      <c r="K3" s="6"/>
      <c r="L3" s="6"/>
      <c r="M3" s="6"/>
    </row>
    <row r="4" spans="1:13" x14ac:dyDescent="0.35">
      <c r="A4" s="6"/>
      <c r="B4" s="6"/>
      <c r="C4" s="6"/>
      <c r="D4" s="6"/>
      <c r="E4" s="6"/>
      <c r="F4" s="6"/>
      <c r="G4" s="6"/>
      <c r="H4" s="6"/>
      <c r="I4" s="6"/>
      <c r="J4" s="6"/>
      <c r="K4" s="6"/>
      <c r="L4" s="6"/>
      <c r="M4" s="6"/>
    </row>
    <row r="5" spans="1:13" x14ac:dyDescent="0.35">
      <c r="A5" s="6"/>
      <c r="B5" s="6"/>
      <c r="C5" s="6"/>
      <c r="D5" s="6"/>
      <c r="E5" s="6"/>
      <c r="F5" s="6"/>
      <c r="G5" s="6"/>
      <c r="H5" s="6"/>
      <c r="I5" s="6"/>
      <c r="J5" s="6"/>
      <c r="K5" s="6"/>
      <c r="L5" s="6"/>
      <c r="M5" s="6"/>
    </row>
    <row r="6" spans="1:13" x14ac:dyDescent="0.35">
      <c r="A6" s="6"/>
      <c r="B6" s="6"/>
      <c r="C6" s="6"/>
      <c r="D6" s="6"/>
      <c r="E6" s="6"/>
      <c r="F6" s="6"/>
      <c r="G6" s="6"/>
      <c r="H6" s="6"/>
      <c r="I6" s="6"/>
      <c r="J6" s="6"/>
      <c r="K6" s="6"/>
      <c r="L6" s="6"/>
      <c r="M6" s="6"/>
    </row>
    <row r="7" spans="1:13" x14ac:dyDescent="0.35">
      <c r="A7" s="6"/>
      <c r="B7" s="6"/>
      <c r="C7" s="6"/>
      <c r="D7" s="6"/>
      <c r="E7" s="6"/>
      <c r="F7" s="6"/>
      <c r="G7" s="6"/>
      <c r="H7" s="6"/>
      <c r="I7" s="6"/>
      <c r="J7" s="6"/>
      <c r="K7" s="6"/>
      <c r="L7" s="6"/>
      <c r="M7" s="6"/>
    </row>
    <row r="8" spans="1:13" x14ac:dyDescent="0.35">
      <c r="A8" s="6"/>
      <c r="B8" s="6"/>
      <c r="C8" s="6"/>
      <c r="D8" s="6"/>
      <c r="E8" s="6"/>
      <c r="F8" s="6"/>
      <c r="G8" s="6"/>
      <c r="H8" s="6"/>
      <c r="I8" s="6"/>
      <c r="J8" s="6"/>
      <c r="K8" s="6"/>
      <c r="L8" s="6"/>
      <c r="M8" s="6"/>
    </row>
    <row r="9" spans="1:13" x14ac:dyDescent="0.35">
      <c r="A9" s="6"/>
      <c r="B9" s="6"/>
      <c r="C9" s="6"/>
      <c r="D9" s="6"/>
      <c r="E9" s="6"/>
      <c r="F9" s="6"/>
      <c r="G9" s="6"/>
      <c r="H9" s="6"/>
      <c r="I9" s="6"/>
      <c r="J9" s="6"/>
      <c r="K9" s="6"/>
      <c r="L9" s="6"/>
      <c r="M9" s="6"/>
    </row>
    <row r="10" spans="1:13" x14ac:dyDescent="0.35">
      <c r="A10" s="6"/>
      <c r="B10" s="6"/>
      <c r="C10" s="6"/>
      <c r="D10" s="6"/>
      <c r="E10" s="6"/>
      <c r="F10" s="6"/>
      <c r="G10" s="6"/>
      <c r="H10" s="6"/>
      <c r="I10" s="6"/>
      <c r="J10" s="6"/>
      <c r="K10" s="6"/>
      <c r="L10" s="6"/>
      <c r="M10" s="6"/>
    </row>
    <row r="11" spans="1:13" x14ac:dyDescent="0.35">
      <c r="A11" s="6"/>
      <c r="B11" s="6"/>
      <c r="C11" s="6"/>
      <c r="D11" s="6"/>
      <c r="E11" s="6"/>
      <c r="F11" s="6"/>
      <c r="G11" s="6"/>
      <c r="H11" s="6"/>
      <c r="I11" s="6"/>
      <c r="J11" s="6"/>
      <c r="K11" s="6"/>
      <c r="L11" s="6"/>
      <c r="M11" s="6"/>
    </row>
    <row r="12" spans="1:13" x14ac:dyDescent="0.35">
      <c r="A12" s="6"/>
      <c r="B12" s="6"/>
      <c r="C12" s="6"/>
      <c r="D12" s="6"/>
      <c r="E12" s="6"/>
      <c r="F12" s="6"/>
      <c r="G12" s="6"/>
      <c r="H12" s="6"/>
      <c r="I12" s="6"/>
      <c r="J12" s="6"/>
      <c r="K12" s="6"/>
      <c r="L12" s="6"/>
      <c r="M12" s="6"/>
    </row>
    <row r="13" spans="1:13" x14ac:dyDescent="0.35">
      <c r="A13" s="6"/>
      <c r="B13" s="6"/>
      <c r="C13" s="6"/>
      <c r="D13" s="6"/>
      <c r="E13" s="6"/>
      <c r="F13" s="6"/>
      <c r="G13" s="6"/>
      <c r="H13" s="6"/>
      <c r="I13" s="6"/>
      <c r="J13" s="6"/>
      <c r="K13" s="6"/>
      <c r="L13" s="6"/>
      <c r="M13" s="6"/>
    </row>
    <row r="14" spans="1:13" x14ac:dyDescent="0.35">
      <c r="A14" s="6"/>
      <c r="B14" s="6"/>
      <c r="C14" s="6"/>
      <c r="D14" s="6"/>
      <c r="E14" s="6"/>
      <c r="F14" s="6"/>
      <c r="G14" s="6"/>
      <c r="H14" s="6"/>
      <c r="I14" s="6"/>
      <c r="J14" s="6"/>
      <c r="K14" s="6"/>
      <c r="L14" s="6"/>
      <c r="M14" s="6"/>
    </row>
    <row r="15" spans="1:13" x14ac:dyDescent="0.35">
      <c r="A15" s="6"/>
      <c r="B15" s="6"/>
      <c r="C15" s="6"/>
      <c r="D15" s="6"/>
      <c r="E15" s="6"/>
      <c r="F15" s="6"/>
      <c r="G15" s="6"/>
      <c r="H15" s="6"/>
      <c r="I15" s="6"/>
      <c r="J15" s="6"/>
      <c r="K15" s="6"/>
      <c r="L15" s="6"/>
      <c r="M15" s="6"/>
    </row>
    <row r="16" spans="1:13" x14ac:dyDescent="0.35">
      <c r="A16" s="6"/>
      <c r="B16" s="6"/>
      <c r="C16" s="6"/>
      <c r="D16" s="6"/>
      <c r="E16" s="6"/>
      <c r="F16" s="6"/>
      <c r="G16" s="6"/>
      <c r="H16" s="6"/>
      <c r="I16" s="6"/>
      <c r="J16" s="6"/>
      <c r="K16" s="6"/>
      <c r="L16" s="6"/>
      <c r="M16" s="6"/>
    </row>
    <row r="17" spans="1:13" x14ac:dyDescent="0.35">
      <c r="A17" s="6"/>
      <c r="B17" s="6"/>
      <c r="C17" s="6"/>
      <c r="D17" s="6"/>
      <c r="E17" s="6"/>
      <c r="F17" s="6"/>
      <c r="G17" s="6"/>
      <c r="H17" s="6"/>
      <c r="I17" s="6"/>
      <c r="J17" s="6"/>
      <c r="K17" s="6"/>
      <c r="L17" s="6"/>
      <c r="M17" s="6"/>
    </row>
    <row r="18" spans="1:13" x14ac:dyDescent="0.35">
      <c r="A18" s="6"/>
      <c r="B18" s="6"/>
      <c r="C18" s="6"/>
      <c r="D18" s="6"/>
      <c r="E18" s="6"/>
      <c r="F18" s="6"/>
      <c r="G18" s="6"/>
      <c r="H18" s="6"/>
      <c r="I18" s="6"/>
      <c r="J18" s="6"/>
      <c r="K18" s="6"/>
      <c r="L18" s="6"/>
      <c r="M18" s="6"/>
    </row>
    <row r="19" spans="1:13" x14ac:dyDescent="0.35">
      <c r="A19" s="6"/>
      <c r="B19" s="6"/>
      <c r="C19" s="6"/>
      <c r="D19" s="6"/>
      <c r="E19" s="6"/>
      <c r="F19" s="6"/>
      <c r="G19" s="6"/>
      <c r="H19" s="6"/>
      <c r="I19" s="6"/>
      <c r="J19" s="6"/>
      <c r="K19" s="6"/>
      <c r="L19" s="6"/>
      <c r="M19" s="6"/>
    </row>
    <row r="20" spans="1:13" x14ac:dyDescent="0.35">
      <c r="A20" s="6"/>
      <c r="B20" s="6"/>
      <c r="C20" s="6"/>
      <c r="D20" s="6"/>
      <c r="E20" s="6"/>
      <c r="F20" s="6"/>
      <c r="G20" s="6"/>
      <c r="H20" s="6"/>
      <c r="I20" s="6"/>
      <c r="J20" s="6"/>
      <c r="K20" s="6"/>
      <c r="L20" s="6"/>
      <c r="M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E0A42181EFBA41ACA9BC61AF2200C4" ma:contentTypeVersion="18" ma:contentTypeDescription="Create a new document." ma:contentTypeScope="" ma:versionID="21320d7ab8ba3f917a9b27c2527ba226">
  <xsd:schema xmlns:xsd="http://www.w3.org/2001/XMLSchema" xmlns:xs="http://www.w3.org/2001/XMLSchema" xmlns:p="http://schemas.microsoft.com/office/2006/metadata/properties" xmlns:ns3="290bfb1c-1025-4fe4-b084-01e55755a8d0" xmlns:ns4="f5a05051-e259-464d-920f-234598dfc495" targetNamespace="http://schemas.microsoft.com/office/2006/metadata/properties" ma:root="true" ma:fieldsID="1b2372d45b96b20e7a33d0bb899674c1" ns3:_="" ns4:_="">
    <xsd:import namespace="290bfb1c-1025-4fe4-b084-01e55755a8d0"/>
    <xsd:import namespace="f5a05051-e259-464d-920f-234598dfc49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0bfb1c-1025-4fe4-b084-01e55755a8d0"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a05051-e259-464d-920f-234598dfc49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_activity xmlns="290bfb1c-1025-4fe4-b084-01e55755a8d0" xsi:nil="true"/>
  </documentManagement>
</p:properties>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A915223A-C996-4CC0-9DD7-DD87A9CF3F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0bfb1c-1025-4fe4-b084-01e55755a8d0"/>
    <ds:schemaRef ds:uri="f5a05051-e259-464d-920f-234598dfc4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2DC184-8454-4CA1-919A-326E0EE204DE}">
  <ds:schemaRefs/>
</ds:datastoreItem>
</file>

<file path=customXml/itemProps3.xml><?xml version="1.0" encoding="utf-8"?>
<ds:datastoreItem xmlns:ds="http://schemas.openxmlformats.org/officeDocument/2006/customXml" ds:itemID="{D1607A00-C81B-4A7B-A9D4-255186121F05}">
  <ds:schemaRefs/>
</ds:datastoreItem>
</file>

<file path=customXml/itemProps4.xml><?xml version="1.0" encoding="utf-8"?>
<ds:datastoreItem xmlns:ds="http://schemas.openxmlformats.org/officeDocument/2006/customXml" ds:itemID="{F24547A4-5851-4622-AE6E-273978171059}">
  <ds:schemaRefs/>
</ds:datastoreItem>
</file>

<file path=customXml/itemProps5.xml><?xml version="1.0" encoding="utf-8"?>
<ds:datastoreItem xmlns:ds="http://schemas.openxmlformats.org/officeDocument/2006/customXml" ds:itemID="{9B16C497-95B2-4D6A-9C33-24A34ECDB76B}">
  <ds:schemaRefs/>
</ds:datastoreItem>
</file>

<file path=customXml/itemProps6.xml><?xml version="1.0" encoding="utf-8"?>
<ds:datastoreItem xmlns:ds="http://schemas.openxmlformats.org/officeDocument/2006/customXml" ds:itemID="{A0B07242-3CE0-4E23-B055-C388C9B9C21B}">
  <ds:schemaRefs/>
</ds:datastoreItem>
</file>

<file path=customXml/itemProps7.xml><?xml version="1.0" encoding="utf-8"?>
<ds:datastoreItem xmlns:ds="http://schemas.openxmlformats.org/officeDocument/2006/customXml" ds:itemID="{FA7AFB53-35DA-4E2E-9B2E-8B5AA5D96B6D}">
  <ds:schemaRefs/>
</ds:datastoreItem>
</file>

<file path=customXml/itemProps8.xml><?xml version="1.0" encoding="utf-8"?>
<ds:datastoreItem xmlns:ds="http://schemas.openxmlformats.org/officeDocument/2006/customXml" ds:itemID="{9C0AF8C2-22AC-4A8F-B0B9-79F2A430028E}">
  <ds:schemaRefs>
    <ds:schemaRef ds:uri="http://schemas.microsoft.com/office/infopath/2007/PartnerControls"/>
    <ds:schemaRef ds:uri="http://purl.org/dc/elements/1.1/"/>
    <ds:schemaRef ds:uri="f5a05051-e259-464d-920f-234598dfc495"/>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290bfb1c-1025-4fe4-b084-01e55755a8d0"/>
    <ds:schemaRef ds:uri="http://purl.org/dc/dcmitype/"/>
    <ds:schemaRef ds:uri="http://purl.org/dc/terms/"/>
  </ds:schemaRefs>
</ds:datastoreItem>
</file>

<file path=customXml/itemProps9.xml><?xml version="1.0" encoding="utf-8"?>
<ds:datastoreItem xmlns:ds="http://schemas.openxmlformats.org/officeDocument/2006/customXml" ds:itemID="{2C14A62C-A8DB-474F-A06C-10247D52566D}">
  <ds:schemaRefs/>
</ds:datastoreItem>
</file>

<file path=customXml/itemProps10.xml><?xml version="1.0" encoding="utf-8"?>
<ds:datastoreItem xmlns:ds="http://schemas.openxmlformats.org/officeDocument/2006/customXml" ds:itemID="{F8848403-172A-4A03-A75B-81F2EBE51A2A}">
  <ds:schemaRefs/>
</ds:datastoreItem>
</file>

<file path=customXml/itemProps11.xml><?xml version="1.0" encoding="utf-8"?>
<ds:datastoreItem xmlns:ds="http://schemas.openxmlformats.org/officeDocument/2006/customXml" ds:itemID="{CA589BD3-DF9B-4EE6-A5BA-315CC9441183}">
  <ds:schemaRefs/>
</ds:datastoreItem>
</file>

<file path=customXml/itemProps12.xml><?xml version="1.0" encoding="utf-8"?>
<ds:datastoreItem xmlns:ds="http://schemas.openxmlformats.org/officeDocument/2006/customXml" ds:itemID="{A52B721C-EB17-4710-80AE-BF81031754AB}">
  <ds:schemaRefs>
    <ds:schemaRef ds:uri="http://schemas.microsoft.com/DataMashup"/>
  </ds:schemaRefs>
</ds:datastoreItem>
</file>

<file path=customXml/itemProps13.xml><?xml version="1.0" encoding="utf-8"?>
<ds:datastoreItem xmlns:ds="http://schemas.openxmlformats.org/officeDocument/2006/customXml" ds:itemID="{DFA3E78D-22DE-4F2B-BE83-A241AB70D425}">
  <ds:schemaRefs>
    <ds:schemaRef ds:uri="http://schemas.microsoft.com/sharepoint/v3/contenttype/forms"/>
  </ds:schemaRefs>
</ds:datastoreItem>
</file>

<file path=customXml/itemProps14.xml><?xml version="1.0" encoding="utf-8"?>
<ds:datastoreItem xmlns:ds="http://schemas.openxmlformats.org/officeDocument/2006/customXml" ds:itemID="{6D48D684-4D6C-4009-A38A-9532A8A60D47}">
  <ds:schemaRefs/>
</ds:datastoreItem>
</file>

<file path=customXml/itemProps15.xml><?xml version="1.0" encoding="utf-8"?>
<ds:datastoreItem xmlns:ds="http://schemas.openxmlformats.org/officeDocument/2006/customXml" ds:itemID="{D827A5D5-F9CF-4B4D-A3E0-BD2117347D6D}">
  <ds:schemaRefs/>
</ds:datastoreItem>
</file>

<file path=customXml/itemProps16.xml><?xml version="1.0" encoding="utf-8"?>
<ds:datastoreItem xmlns:ds="http://schemas.openxmlformats.org/officeDocument/2006/customXml" ds:itemID="{B139B6E8-7376-4B75-B1CE-A70FE8C0ED0D}">
  <ds:schemaRefs/>
</ds:datastoreItem>
</file>

<file path=customXml/itemProps17.xml><?xml version="1.0" encoding="utf-8"?>
<ds:datastoreItem xmlns:ds="http://schemas.openxmlformats.org/officeDocument/2006/customXml" ds:itemID="{0E44B293-C55D-4B53-9CE8-501659166E02}">
  <ds:schemaRefs/>
</ds:datastoreItem>
</file>

<file path=customXml/itemProps18.xml><?xml version="1.0" encoding="utf-8"?>
<ds:datastoreItem xmlns:ds="http://schemas.openxmlformats.org/officeDocument/2006/customXml" ds:itemID="{8D57D983-D06F-4E70-944A-313ED94F2CD1}">
  <ds:schemaRefs/>
</ds:datastoreItem>
</file>

<file path=customXml/itemProps19.xml><?xml version="1.0" encoding="utf-8"?>
<ds:datastoreItem xmlns:ds="http://schemas.openxmlformats.org/officeDocument/2006/customXml" ds:itemID="{C1FC8BFF-2A69-4A79-B585-F34CEEE48C79}">
  <ds:schemaRefs/>
</ds:datastoreItem>
</file>

<file path=customXml/itemProps20.xml><?xml version="1.0" encoding="utf-8"?>
<ds:datastoreItem xmlns:ds="http://schemas.openxmlformats.org/officeDocument/2006/customXml" ds:itemID="{5E36746B-5A6C-4473-A2D5-FBE6BD44BED1}">
  <ds:schemaRefs/>
</ds:datastoreItem>
</file>

<file path=customXml/itemProps21.xml><?xml version="1.0" encoding="utf-8"?>
<ds:datastoreItem xmlns:ds="http://schemas.openxmlformats.org/officeDocument/2006/customXml" ds:itemID="{303B9543-ED8A-44AD-B606-2A04F6233C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Waiting Time</vt:lpstr>
      <vt:lpstr>Average Satasfication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 Nandeesha</dc:creator>
  <cp:lastModifiedBy>KM, Nandeesha</cp:lastModifiedBy>
  <dcterms:created xsi:type="dcterms:W3CDTF">2025-11-02T08:20:40Z</dcterms:created>
  <dcterms:modified xsi:type="dcterms:W3CDTF">2025-11-08T09:17:08Z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0x010100A0E0A42181EFBA41ACA9BC61AF2200C4</vt:lpwstr>
  </property>
  <property fmtid="{D5CDD505-2E9C-101B-9397-08002B2CF9AE}" pid="3" name="MSIP_Label_15394ae5-69af-439d-af88-cb521c31c0c5_Enabled">
    <vt:lpwstr>true</vt:lpwstr>
  </property>
  <property fmtid="{D5CDD505-2E9C-101B-9397-08002B2CF9AE}" pid="4" name="MSIP_Label_15394ae5-69af-439d-af88-cb521c31c0c5_SetDate">
    <vt:lpwstr>2025-11-02T08:43:00Z</vt:lpwstr>
  </property>
  <property fmtid="{D5CDD505-2E9C-101B-9397-08002B2CF9AE}" pid="5" name="MSIP_Label_15394ae5-69af-439d-af88-cb521c31c0c5_Method">
    <vt:lpwstr>Standard</vt:lpwstr>
  </property>
  <property fmtid="{D5CDD505-2E9C-101B-9397-08002B2CF9AE}" pid="6" name="MSIP_Label_15394ae5-69af-439d-af88-cb521c31c0c5_Name">
    <vt:lpwstr>DXC Internal</vt:lpwstr>
  </property>
  <property fmtid="{D5CDD505-2E9C-101B-9397-08002B2CF9AE}" pid="7" name="MSIP_Label_15394ae5-69af-439d-af88-cb521c31c0c5_SiteId">
    <vt:lpwstr>93f33571-550f-43cf-b09f-cd331338d086</vt:lpwstr>
  </property>
  <property fmtid="{D5CDD505-2E9C-101B-9397-08002B2CF9AE}" pid="8" name="MSIP_Label_15394ae5-69af-439d-af88-cb521c31c0c5_ActionId">
    <vt:lpwstr>47c089a5-f541-4396-ac55-4654bd7bc7d9</vt:lpwstr>
  </property>
  <property fmtid="{D5CDD505-2E9C-101B-9397-08002B2CF9AE}" pid="9" name="MSIP_Label_15394ae5-69af-439d-af88-cb521c31c0c5_ContentBits">
    <vt:lpwstr>0</vt:lpwstr>
  </property>
  <property fmtid="{D5CDD505-2E9C-101B-9397-08002B2CF9AE}" pid="10" name="MSIP_Label_15394ae5-69af-439d-af88-cb521c31c0c5_Tag">
    <vt:lpwstr>10, 3, 0, 1</vt:lpwstr>
  </property>
</Properties>
</file>